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E26B3D7A-232B-432D-BB39-A64910E93C17}" xr6:coauthVersionLast="45" xr6:coauthVersionMax="45" xr10:uidLastSave="{00000000-0000-0000-0000-000000000000}"/>
  <bookViews>
    <workbookView xWindow="-108" yWindow="-108" windowWidth="23256" windowHeight="12456" tabRatio="810" firstSheet="4" activeTab="6" xr2:uid="{00000000-000D-0000-FFFF-FFFF00000000}"/>
  </bookViews>
  <sheets>
    <sheet name="Trường hợp kiểm thử" sheetId="1" r:id="rId1"/>
    <sheet name="Thanh toán VNPay" sheetId="19" r:id="rId2"/>
    <sheet name="Quản lý giỏ hàng" sheetId="21" r:id="rId3"/>
    <sheet name="Quản lý đơn hàng" sheetId="22" r:id="rId4"/>
    <sheet name="Quản lý thông tin tài khoản" sheetId="23" r:id="rId5"/>
    <sheet name="Báo cáo thống kê" sheetId="24" r:id="rId6"/>
    <sheet name="Quản lý kho" sheetId="25" r:id="rId7"/>
    <sheet name="Báo cáo kiểm tra" sheetId="10" state="hidden" r:id="rId8"/>
  </sheets>
  <externalReferences>
    <externalReference r:id="rId9"/>
  </externalReferenc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<sst xmlns="http://schemas.openxmlformats.org/spreadsheetml/2006/main" count="1496" uniqueCount="586">
  <si>
    <t>Project Name</t>
  </si>
  <si>
    <t>Sheet Name</t>
  </si>
  <si>
    <t>Passed</t>
  </si>
  <si>
    <t>Round 1</t>
  </si>
  <si>
    <t>Round 2</t>
  </si>
  <si>
    <t>Module Code</t>
  </si>
  <si>
    <t>Test Case ID</t>
  </si>
  <si>
    <t>Creator</t>
  </si>
  <si>
    <t>Sub total</t>
  </si>
  <si>
    <t>%</t>
  </si>
  <si>
    <t>Chức năng</t>
  </si>
  <si>
    <t>STT</t>
  </si>
  <si>
    <t>Mô tả</t>
  </si>
  <si>
    <t>Tên dự án</t>
  </si>
  <si>
    <t>Tên hiển thị</t>
  </si>
  <si>
    <t>Vòng 1</t>
  </si>
  <si>
    <t>Vòng 2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</si>
  <si>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</si>
  <si>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</si>
  <si>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</si>
  <si>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</si>
  <si>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</si>
  <si>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</si>
  <si>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</si>
  <si>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</si>
  <si>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Bị chặn</t>
  </si>
  <si>
    <t>Số trường hợp thử nghiệm</t>
  </si>
  <si>
    <t>% Thành công</t>
  </si>
  <si>
    <t>Báo cáo thử nghiệm</t>
  </si>
  <si>
    <t>Vòng2</t>
  </si>
  <si>
    <t>Kiểm tra phủ sóng</t>
  </si>
  <si>
    <t>Kiểm tra thành công phủ sống</t>
  </si>
  <si>
    <t>Chưa Kiểm tra</t>
  </si>
  <si>
    <t>Chưa kiểm tra</t>
  </si>
  <si>
    <t>Kết quả</t>
  </si>
  <si>
    <t>Chú thích</t>
  </si>
  <si>
    <t>Trạng thái</t>
  </si>
  <si>
    <t>Ngày kiểm tra</t>
  </si>
  <si>
    <t>Người kiểm tra</t>
  </si>
  <si>
    <t>Đăng nhập</t>
  </si>
  <si>
    <t>Quy trình</t>
  </si>
  <si>
    <t>Kết quả mong đợi</t>
  </si>
  <si>
    <t>Kết quả thực tế</t>
  </si>
  <si>
    <t>Tổng lần kiểm tra</t>
  </si>
  <si>
    <t xml:space="preserve">% Coverage 
</t>
  </si>
  <si>
    <t>Website bán thời trang</t>
  </si>
  <si>
    <t>Quản lý sản phẩm</t>
  </si>
  <si>
    <t>Quản lý mã khuyến mãi</t>
  </si>
  <si>
    <t>Quản lý tài khoản người dùng</t>
  </si>
  <si>
    <t>Quản lý bài viết</t>
  </si>
  <si>
    <t>Quản lý bình luận</t>
  </si>
  <si>
    <t>Tìm kiếm</t>
  </si>
  <si>
    <t>Quản lý thống kê</t>
  </si>
  <si>
    <t>Quản lý hóa đơn</t>
  </si>
  <si>
    <t>Quản lý nhãn hiệu</t>
  </si>
  <si>
    <t>Quản lý danh mục</t>
  </si>
  <si>
    <t>Thái</t>
  </si>
  <si>
    <t>Nguyên</t>
  </si>
  <si>
    <t>XÂY DỰNG WEBSITE BÁN VẬT TƯ Y TẾ TÍCH HỢP THANH TOÁN VNPAY</t>
  </si>
  <si>
    <t>Hiển thị tiêu đề trang</t>
  </si>
  <si>
    <t>Nhân</t>
  </si>
  <si>
    <t>FUNCTION_SHOW Quản lý khách hàng</t>
  </si>
  <si>
    <t>Failed</t>
  </si>
  <si>
    <t>Hành động</t>
  </si>
  <si>
    <t>Hiển thị thông báo lỗi “Vui lòng nhập đầy đủ thông tin”</t>
  </si>
  <si>
    <t>TEST CASE SYSTEM SPRINT 2</t>
  </si>
  <si>
    <t>Thanh toán VNPay</t>
  </si>
  <si>
    <t>Quản lý giỏ hàng</t>
  </si>
  <si>
    <t>Quản lý đơn hàng</t>
  </si>
  <si>
    <t>Quản lý thông tin tài khoản</t>
  </si>
  <si>
    <t>Báo cáo thống kê</t>
  </si>
  <si>
    <t>Quản lý kho</t>
  </si>
  <si>
    <t>Quản lý lương</t>
  </si>
  <si>
    <t>GUI_SHOW Quản lý giỏ hàng</t>
  </si>
  <si>
    <t>FUNCTION_SHOW Quản lý giỏ hàng</t>
  </si>
  <si>
    <t>GUI_SHOW Quản lý đơn hàng</t>
  </si>
  <si>
    <t>FUNCTION_SHOW Quản lý đơn hàng</t>
  </si>
  <si>
    <t>GUI-CART-01</t>
  </si>
  <si>
    <t>GUI-CART-02</t>
  </si>
  <si>
    <t>Hiển thị danh sách sản phẩm</t>
  </si>
  <si>
    <t>Kiểm tra phần bảng sản phẩm</t>
  </si>
  <si>
    <t>Mỗi sản phẩm hiển thị gồm: Hình ảnh, Tên, Mã sản phẩm, Số lượng, Đơn giá, Thành tiền, Nút xóa</t>
  </si>
  <si>
    <t>GUI-CART-03</t>
  </si>
  <si>
    <t>Hiển thị ảnh sản phẩm</t>
  </si>
  <si>
    <t>Quan sát cột hình ảnh</t>
  </si>
  <si>
    <t>Ảnh minh họa của sản phẩm hiển thị đúng kích thước</t>
  </si>
  <si>
    <t>GUI-CART-04</t>
  </si>
  <si>
    <t>Hiển thị tên và mã sản phẩm</t>
  </si>
  <si>
    <t>Quan sát cột “Thông tin”</t>
  </si>
  <si>
    <t>Tên sản phẩm và Mã (ví dụ: MAT001, MAT002) hiển thị chính xác</t>
  </si>
  <si>
    <t>GUI-CART-05</t>
  </si>
  <si>
    <t>Hiển thị số lượng</t>
  </si>
  <si>
    <t>Quan sát phần nhập số lượng</t>
  </si>
  <si>
    <t>Có nút “–” (giảm) và “+” (tăng) số lượng hoạt động bình thường</t>
  </si>
  <si>
    <t>GUI-CART-06</t>
  </si>
  <si>
    <t>Hiển thị đơn giá và thành tiền</t>
  </si>
  <si>
    <t>Quan sát cột tương ứng</t>
  </si>
  <si>
    <t>Giá tiền được định dạng đúng (VD: 15.000 đ), thành tiền tự động hiển thị</t>
  </si>
  <si>
    <t>GUI-CART-07</t>
  </si>
  <si>
    <t>Hiển thị nút “Xóa toàn bộ”</t>
  </si>
  <si>
    <t>Quan sát cuối bảng</t>
  </si>
  <si>
    <t>GUI-CART-08</t>
  </si>
  <si>
    <t>Hiển thị nút “Tiếp tục mua sắm”</t>
  </si>
  <si>
    <t>Quan sát góc phải dưới</t>
  </si>
  <si>
    <t>GUI-CART-09</t>
  </si>
  <si>
    <t>Hiển thị phần “Tóm tắt đơn hàng”</t>
  </si>
  <si>
    <t>Quan sát cột bên phải</t>
  </si>
  <si>
    <t>Có các dòng: Nhập mã giảm giá, Tạm tính, Giảm giá, Phí vận chuyển, Thuế, Tổng cộng</t>
  </si>
  <si>
    <t>GUI-CART-10</t>
  </si>
  <si>
    <t>Hiển thị tổng cộng</t>
  </si>
  <si>
    <t>Quan sát phần tổng giá trị</t>
  </si>
  <si>
    <t>Tổng tiền hiển thị nổi bật (màu đỏ đậm, cỡ chữ lớn)</t>
  </si>
  <si>
    <t>GUI-CART-11</t>
  </si>
  <si>
    <t>Hiển thị nút “Thanh toán”</t>
  </si>
  <si>
    <t>Quan sát khu vực tóm tắt đơn hàng</t>
  </si>
  <si>
    <t>GUI-CART-12</t>
  </si>
  <si>
    <t>Hiển thị thông tin phụ</t>
  </si>
  <si>
    <t>Quan sát phía dưới</t>
  </si>
  <si>
    <t>Có dòng “Giao nhanh 24–48h tại nội thành” và “Đổi trả trong 7 ngày…”</t>
  </si>
  <si>
    <t>Mở trang giỏ hàng (/cart)</t>
  </si>
  <si>
    <r>
      <t xml:space="preserve">Tiêu đề </t>
    </r>
    <r>
      <rPr>
        <b/>
        <sz val="13"/>
        <color theme="1"/>
        <rFont val="Times New Roman"/>
        <family val="1"/>
      </rPr>
      <t>“Giỏ hàng”</t>
    </r>
    <r>
      <rPr>
        <sz val="13"/>
        <color theme="1"/>
        <rFont val="Times New Roman"/>
        <family val="1"/>
      </rPr>
      <t xml:space="preserve"> hiển thị rõ ràng, có biểu tượng giỏ hàng</t>
    </r>
  </si>
  <si>
    <r>
      <t xml:space="preserve">Nút </t>
    </r>
    <r>
      <rPr>
        <b/>
        <sz val="13"/>
        <color theme="1"/>
        <rFont val="Times New Roman"/>
        <family val="1"/>
      </rPr>
      <t>Xóa toàn bộ</t>
    </r>
    <r>
      <rPr>
        <sz val="13"/>
        <color theme="1"/>
        <rFont val="Times New Roman"/>
        <family val="1"/>
      </rPr>
      <t xml:space="preserve"> hiển thị rõ ràng, màu sắc nổi bật</t>
    </r>
  </si>
  <si>
    <r>
      <t xml:space="preserve">Có liên kết </t>
    </r>
    <r>
      <rPr>
        <b/>
        <sz val="13"/>
        <color theme="1"/>
        <rFont val="Times New Roman"/>
        <family val="1"/>
      </rPr>
      <t>Tiếp tục mua sắm</t>
    </r>
    <r>
      <rPr>
        <sz val="13"/>
        <color theme="1"/>
        <rFont val="Times New Roman"/>
        <family val="1"/>
      </rPr>
      <t>, hiển thị đúng màu, hoạt động</t>
    </r>
  </si>
  <si>
    <r>
      <t xml:space="preserve">Có nút </t>
    </r>
    <r>
      <rPr>
        <b/>
        <sz val="13"/>
        <color theme="1"/>
        <rFont val="Times New Roman"/>
        <family val="1"/>
      </rPr>
      <t>Thanh toán</t>
    </r>
    <r>
      <rPr>
        <sz val="13"/>
        <color theme="1"/>
        <rFont val="Times New Roman"/>
        <family val="1"/>
      </rPr>
      <t xml:space="preserve"> màu xanh lá, biểu tượng thẻ tín dụng</t>
    </r>
  </si>
  <si>
    <t>FUNC-CART-01</t>
  </si>
  <si>
    <t>Tăng số lượng sản phẩm</t>
  </si>
  <si>
    <t>FUNC-CART-02</t>
  </si>
  <si>
    <t>Giảm số lượng sản phẩm</t>
  </si>
  <si>
    <t>FUNC-CART-03</t>
  </si>
  <si>
    <t>Không cho giảm dưới 1</t>
  </si>
  <si>
    <t>Giảm số lượng đến 1 rồi tiếp tục nhấn “–”</t>
  </si>
  <si>
    <t>Số lượng không giảm thêm, hiển thị cảnh báo hoặc giữ nguyên</t>
  </si>
  <si>
    <t>FUNC-CART-04</t>
  </si>
  <si>
    <t>Xóa sản phẩm khỏi giỏ</t>
  </si>
  <si>
    <t>Sản phẩm biến mất khỏi danh sách, tổng tiền cập nhật lại</t>
  </si>
  <si>
    <t>FUNC-CART-05</t>
  </si>
  <si>
    <t>Xóa toàn bộ giỏ hàng</t>
  </si>
  <si>
    <t>Toàn bộ danh sách sản phẩm bị xóa, hiển thị thông báo “Giỏ hàng trống”</t>
  </si>
  <si>
    <t>FUNC-CART-06</t>
  </si>
  <si>
    <t>Áp dụng mã giảm giá hợp lệ</t>
  </si>
  <si>
    <t>Giảm giá được tính đúng (VD: -10%), tổng tiền giảm tương ứng</t>
  </si>
  <si>
    <t>FUNC-CART-07</t>
  </si>
  <si>
    <t>Nhập mã giảm giá không hợp lệ</t>
  </si>
  <si>
    <t>Nhập mã sai hoặc hết hạn</t>
  </si>
  <si>
    <t>Hiển thị thông báo “Mã giảm giá không hợp lệ”</t>
  </si>
  <si>
    <t>FUNC-CART-08</t>
  </si>
  <si>
    <t>Cập nhật phí vận chuyển</t>
  </si>
  <si>
    <t>Thay đổi địa chỉ hoặc khu vực giao hàng</t>
  </si>
  <si>
    <t>Phí vận chuyển thay đổi tự động (VD: nội thành thấp hơn ngoại thành)</t>
  </si>
  <si>
    <t>FUNC-CART-09</t>
  </si>
  <si>
    <t>Tính thuế (VAT) tự động</t>
  </si>
  <si>
    <t>Khi thay đổi giỏ hàng</t>
  </si>
  <si>
    <t>Phần thuế (nếu có) tự động cập nhật đúng phần trăm (VD: 10%)</t>
  </si>
  <si>
    <t>FUNC-CART-10</t>
  </si>
  <si>
    <t>Tính tổng cộng</t>
  </si>
  <si>
    <t>Khi thay đổi số lượng hoặc mã giảm giá</t>
  </si>
  <si>
    <t>Tổng cộng = (Tạm tính + Phí vận chuyển + Thuế) – Giảm giá</t>
  </si>
  <si>
    <t>FUNC-CART-11</t>
  </si>
  <si>
    <t>Tiếp tục mua sắm</t>
  </si>
  <si>
    <t>FUNC-CART-12</t>
  </si>
  <si>
    <t>Chuyển sang thanh toán</t>
  </si>
  <si>
    <t>FUNC-CART-13</t>
  </si>
  <si>
    <t>Kiểm tra khi giỏ hàng trống</t>
  </si>
  <si>
    <t>Xóa hết sản phẩm, rồi mở lại trang</t>
  </si>
  <si>
    <t>Hiển thị “Giỏ hàng của bạn hiện đang trống”, ẩn nút Thanh toán</t>
  </si>
  <si>
    <t>FUNC-CART-14</t>
  </si>
  <si>
    <t>Lưu giỏ hàng khi tải lại trang</t>
  </si>
  <si>
    <t>Reload lại trình duyệt</t>
  </si>
  <si>
    <t>Giỏ hàng vẫn giữ nguyên dữ liệu nhờ session hoặc localStorage</t>
  </si>
  <si>
    <t>FUNC-CART-15</t>
  </si>
  <si>
    <t>Hiển thị thông tin người dùng</t>
  </si>
  <si>
    <t>Người dùng đã đăng nhập vào hệ thống</t>
  </si>
  <si>
    <t>Tên hoặc ảnh đại diện hiển thị ở góc phải trên trang (VD: “admin”)</t>
  </si>
  <si>
    <r>
      <t xml:space="preserve">Nhấn nút </t>
    </r>
    <r>
      <rPr>
        <b/>
        <sz val="13"/>
        <color theme="1"/>
        <rFont val="Times New Roman"/>
        <family val="1"/>
      </rPr>
      <t>“+”</t>
    </r>
    <r>
      <rPr>
        <sz val="13"/>
        <color theme="1"/>
        <rFont val="Times New Roman"/>
        <family val="1"/>
      </rPr>
      <t xml:space="preserve"> tại một sản phẩm trong giỏ</t>
    </r>
  </si>
  <si>
    <r>
      <t xml:space="preserve">Số lượng tăng lên 1, </t>
    </r>
    <r>
      <rPr>
        <b/>
        <sz val="13"/>
        <color theme="1"/>
        <rFont val="Times New Roman"/>
        <family val="1"/>
      </rPr>
      <t>thành tiền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tổng cộng</t>
    </r>
    <r>
      <rPr>
        <sz val="13"/>
        <color theme="1"/>
        <rFont val="Times New Roman"/>
        <family val="1"/>
      </rPr>
      <t xml:space="preserve"> cập nhật chính xác</t>
    </r>
  </si>
  <si>
    <r>
      <t xml:space="preserve">Nhấn nút </t>
    </r>
    <r>
      <rPr>
        <b/>
        <sz val="13"/>
        <color theme="1"/>
        <rFont val="Times New Roman"/>
        <family val="1"/>
      </rPr>
      <t>“–”</t>
    </r>
    <r>
      <rPr>
        <sz val="13"/>
        <color theme="1"/>
        <rFont val="Times New Roman"/>
        <family val="1"/>
      </rPr>
      <t xml:space="preserve"> tại sản phẩm có số lượng &gt; 1</t>
    </r>
  </si>
  <si>
    <r>
      <t xml:space="preserve">Số lượng giảm 1, </t>
    </r>
    <r>
      <rPr>
        <b/>
        <sz val="13"/>
        <color theme="1"/>
        <rFont val="Times New Roman"/>
        <family val="1"/>
      </rPr>
      <t>thành tiền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tổng cộng</t>
    </r>
    <r>
      <rPr>
        <sz val="13"/>
        <color theme="1"/>
        <rFont val="Times New Roman"/>
        <family val="1"/>
      </rPr>
      <t xml:space="preserve"> thay đổi đúng</t>
    </r>
  </si>
  <si>
    <r>
      <t xml:space="preserve">Nhấn nút </t>
    </r>
    <r>
      <rPr>
        <b/>
        <sz val="13"/>
        <color theme="1"/>
        <rFont val="Times New Roman"/>
        <family val="1"/>
      </rPr>
      <t>“Xóa”</t>
    </r>
    <r>
      <rPr>
        <sz val="13"/>
        <color theme="1"/>
        <rFont val="Times New Roman"/>
        <family val="1"/>
      </rPr>
      <t xml:space="preserve"> bên phải sản phẩm</t>
    </r>
  </si>
  <si>
    <r>
      <t xml:space="preserve">Nhấn nút </t>
    </r>
    <r>
      <rPr>
        <b/>
        <sz val="13"/>
        <color theme="1"/>
        <rFont val="Times New Roman"/>
        <family val="1"/>
      </rPr>
      <t>“Xóa toàn bộ”</t>
    </r>
  </si>
  <si>
    <r>
      <t xml:space="preserve">Nhập mã hợp lệ (VD: </t>
    </r>
    <r>
      <rPr>
        <b/>
        <sz val="13"/>
        <color theme="1"/>
        <rFont val="Times New Roman"/>
        <family val="1"/>
      </rPr>
      <t>SALE10</t>
    </r>
    <r>
      <rPr>
        <sz val="13"/>
        <color theme="1"/>
        <rFont val="Times New Roman"/>
        <family val="1"/>
      </rPr>
      <t xml:space="preserve">) và nhấn </t>
    </r>
    <r>
      <rPr>
        <b/>
        <sz val="13"/>
        <color theme="1"/>
        <rFont val="Times New Roman"/>
        <family val="1"/>
      </rPr>
      <t>Áp dụng</t>
    </r>
  </si>
  <si>
    <r>
      <t xml:space="preserve">Nhấn nút </t>
    </r>
    <r>
      <rPr>
        <b/>
        <sz val="13"/>
        <color theme="1"/>
        <rFont val="Times New Roman"/>
        <family val="1"/>
      </rPr>
      <t>“Tiếp tục mua sắm”</t>
    </r>
  </si>
  <si>
    <r>
      <t xml:space="preserve">Nhấn nút </t>
    </r>
    <r>
      <rPr>
        <b/>
        <sz val="13"/>
        <color theme="1"/>
        <rFont val="Times New Roman"/>
        <family val="1"/>
      </rPr>
      <t>“Thanh toán”</t>
    </r>
  </si>
  <si>
    <r>
      <t xml:space="preserve">Điều hướng đến trang </t>
    </r>
    <r>
      <rPr>
        <b/>
        <sz val="13"/>
        <color theme="1"/>
        <rFont val="Times New Roman"/>
        <family val="1"/>
      </rPr>
      <t>Thanh toán</t>
    </r>
    <r>
      <rPr>
        <sz val="13"/>
        <color theme="1"/>
        <rFont val="Times New Roman"/>
        <family val="1"/>
      </rPr>
      <t xml:space="preserve"> (/checkout), kèm thông tin giỏ hàng</t>
    </r>
  </si>
  <si>
    <t>Không áp dụng được má giảm giá</t>
  </si>
  <si>
    <r>
      <t xml:space="preserve">Điều hướng về trang </t>
    </r>
    <r>
      <rPr>
        <b/>
        <sz val="13"/>
        <color theme="1"/>
        <rFont val="Times New Roman"/>
        <family val="1"/>
      </rPr>
      <t>Danh sách sản phẩm</t>
    </r>
    <r>
      <rPr>
        <sz val="13"/>
        <color theme="1"/>
        <rFont val="Times New Roman"/>
        <family val="1"/>
      </rPr>
      <t xml:space="preserve"> (/material)</t>
    </r>
  </si>
  <si>
    <t>x`</t>
  </si>
  <si>
    <t>Thanh toán VNPAY</t>
  </si>
  <si>
    <t>GUI_SHOW Thanh toán VNPAY</t>
  </si>
  <si>
    <t>FUNCTION_SHOW Thanh toán VNPAY</t>
  </si>
  <si>
    <t>GUI_SHOW Quản lý thông tin tài khoản</t>
  </si>
  <si>
    <t>GUI-ACC-01</t>
  </si>
  <si>
    <t>Mở trang Thông tin tài khoản</t>
  </si>
  <si>
    <t>GUI-ACC-02</t>
  </si>
  <si>
    <t>Hiển thị ảnh đại diện</t>
  </si>
  <si>
    <t>Quan sát vùng ảnh bên trái</t>
  </si>
  <si>
    <t>Ảnh tròn hiển thị, không vỡ, có viền như thiết kế</t>
  </si>
  <si>
    <t>GUI-ACC-03</t>
  </si>
  <si>
    <t>Hiển thị tên tài khoản (username)</t>
  </si>
  <si>
    <t>Quan sát dòng tên tài khoản</t>
  </si>
  <si>
    <t>GUI-ACC-04</t>
  </si>
  <si>
    <t>Hiển thị mật khẩu ở dạng ẩn</t>
  </si>
  <si>
    <t>Quan sát trường mật khẩu</t>
  </si>
  <si>
    <t>GUI-ACC-05</t>
  </si>
  <si>
    <t>Hiển thị họ và tên</t>
  </si>
  <si>
    <t>Quan sát trường Họ và tên</t>
  </si>
  <si>
    <t>Họ và tên hiện đúng, font, cỡ chữ dễ đọc</t>
  </si>
  <si>
    <t>GUI-ACC-06</t>
  </si>
  <si>
    <t>Hiển thị địa chỉ</t>
  </si>
  <si>
    <t>Quan sát trường Địa chỉ</t>
  </si>
  <si>
    <t>Địa chỉ hiển thị đầy đủ, không bị tràn hàng</t>
  </si>
  <si>
    <t>GUI-ACC-07</t>
  </si>
  <si>
    <t>Hiển thị số điện thoại</t>
  </si>
  <si>
    <t>Quan sát trường SĐT</t>
  </si>
  <si>
    <t>Số điện thoại hiển thị đúng định dạng</t>
  </si>
  <si>
    <t>GUI-ACC-08</t>
  </si>
  <si>
    <t>Hiển thị email</t>
  </si>
  <si>
    <t>Quan sát trường Email</t>
  </si>
  <si>
    <t>Email hiển thị rõ, không cắt bớt</t>
  </si>
  <si>
    <t>GUI-ACC-09</t>
  </si>
  <si>
    <t>Hiển thị loại tài khoản / vai trò</t>
  </si>
  <si>
    <t>Quan sát trường Loại tài khoản</t>
  </si>
  <si>
    <t>Loại tài khoản (VD: RETAIL, ADMIN) hiển thị đúng</t>
  </si>
  <si>
    <t>GUI-ACC-10</t>
  </si>
  <si>
    <t>Nút “Quay về” hiển thị</t>
  </si>
  <si>
    <t>Quan sát dưới cùng</t>
  </si>
  <si>
    <t>GUI-ACC-11</t>
  </si>
  <si>
    <t>Nút “Cập nhật thông tin” hiển thị</t>
  </si>
  <si>
    <t>GUI-ACC-12</t>
  </si>
  <si>
    <t>Nút “Thay đổi mật khẩu” hiển thị</t>
  </si>
  <si>
    <t>GUI-ACC-13</t>
  </si>
  <si>
    <t>Thẩm mỹ &amp; alignment</t>
  </si>
  <si>
    <t>Quan sát tổng thể</t>
  </si>
  <si>
    <t>Nội dung căn đúng lề, khoảng cách (padding/margin) hợp lý, không vỡ layout trên kích thước màn hình phổ biến</t>
  </si>
  <si>
    <t>GUI-ACC-14</t>
  </si>
  <si>
    <t>Responsive (cơ bản)</t>
  </si>
  <si>
    <t>Thu nhỏ/ mở rộng cửa sổ trình duyệt</t>
  </si>
  <si>
    <t>Giao diện co/gãy hợp lý: hình tròn, text, nút vẫn hiển thị, không overlap</t>
  </si>
  <si>
    <r>
      <t xml:space="preserve">Tiêu đề </t>
    </r>
    <r>
      <rPr>
        <b/>
        <sz val="13"/>
        <color theme="1"/>
        <rFont val="Times New Roman"/>
        <family val="1"/>
      </rPr>
      <t>"Thông tin tài khoản"</t>
    </r>
    <r>
      <rPr>
        <sz val="13"/>
        <color theme="1"/>
        <rFont val="Times New Roman"/>
        <family val="1"/>
      </rPr>
      <t xml:space="preserve"> (hoặc "Thông tin khách hàng") hiển thị rõ, căn giữa</t>
    </r>
  </si>
  <si>
    <t>Username (vd: customer1) hiển thị đúng, không bị che khuất</t>
  </si>
  <si>
    <t>Mật khẩu hiển thị dưới dạng ******* (không hiển thị rõ)</t>
  </si>
  <si>
    <r>
      <t xml:space="preserve">Nút </t>
    </r>
    <r>
      <rPr>
        <b/>
        <sz val="13"/>
        <color theme="1"/>
        <rFont val="Times New Roman"/>
        <family val="1"/>
      </rPr>
      <t>Quay về</t>
    </r>
    <r>
      <rPr>
        <sz val="13"/>
        <color theme="1"/>
        <rFont val="Times New Roman"/>
        <family val="1"/>
      </rPr>
      <t xml:space="preserve"> hiện, vị trí và kích thước đúng như design</t>
    </r>
  </si>
  <si>
    <r>
      <t xml:space="preserve">Nút </t>
    </r>
    <r>
      <rPr>
        <b/>
        <sz val="13"/>
        <color theme="1"/>
        <rFont val="Times New Roman"/>
        <family val="1"/>
      </rPr>
      <t>Cập nhật thông tin</t>
    </r>
    <r>
      <rPr>
        <sz val="13"/>
        <color theme="1"/>
        <rFont val="Times New Roman"/>
        <family val="1"/>
      </rPr>
      <t xml:space="preserve"> hiển thị và dễ bấm</t>
    </r>
  </si>
  <si>
    <r>
      <t xml:space="preserve">Nút </t>
    </r>
    <r>
      <rPr>
        <b/>
        <sz val="13"/>
        <color theme="1"/>
        <rFont val="Times New Roman"/>
        <family val="1"/>
      </rPr>
      <t>Thay đổi mật khẩu</t>
    </r>
    <r>
      <rPr>
        <sz val="13"/>
        <color theme="1"/>
        <rFont val="Times New Roman"/>
        <family val="1"/>
      </rPr>
      <t xml:space="preserve"> hiển thị, rõ ràng</t>
    </r>
  </si>
  <si>
    <t>FUNC-CUSINFO-01</t>
  </si>
  <si>
    <t>Xem thông tin cá nhân</t>
  </si>
  <si>
    <t>Đăng nhập và mở trang “Thông tin khách hàng”</t>
  </si>
  <si>
    <t>Hiển thị đúng toàn bộ thông tin của người đăng nhập</t>
  </si>
  <si>
    <t>FUNC-CUSINFO-02</t>
  </si>
  <si>
    <t>Nút “Quay về”</t>
  </si>
  <si>
    <t>Nhấn nút “Quay về”</t>
  </si>
  <si>
    <t>Quay lại trang trước đó hoặc trang danh sách khách hàng</t>
  </si>
  <si>
    <t>FUNC-CUSINFO-03</t>
  </si>
  <si>
    <t>Nút “Cập nhật thông tin”</t>
  </si>
  <si>
    <t>Nhấn nút “Cập nhật thông tin”</t>
  </si>
  <si>
    <t>Điều hướng đến form chỉnh sửa thông tin khách hàng</t>
  </si>
  <si>
    <t>FUNC-CUSINFO-04</t>
  </si>
  <si>
    <t>Nút “Thay đổi mật khẩu”</t>
  </si>
  <si>
    <t>Nhấn nút “Thay đổi mật khẩu”</t>
  </si>
  <si>
    <t>Điều hướng đến giao diện đổi mật khẩu</t>
  </si>
  <si>
    <t>FUNC-CUSINFO-05</t>
  </si>
  <si>
    <t>Cập nhật thông tin hợp lệ</t>
  </si>
  <si>
    <t>Sửa họ tên, địa chỉ, email, SĐT hợp lệ và lưu</t>
  </si>
  <si>
    <t>Cập nhật thành công, hiển thị thông báo “Cập nhật thành công”</t>
  </si>
  <si>
    <t>FUNC-CUSINFO-06</t>
  </si>
  <si>
    <t>Kiểm tra dữ liệu trống</t>
  </si>
  <si>
    <t>Để trống ô bắt buộc (VD: họ tên, email) rồi lưu</t>
  </si>
  <si>
    <t>FUNC-CUSINFO-07</t>
  </si>
  <si>
    <t>Đổi mật khẩu hợp lệ</t>
  </si>
  <si>
    <t>Nhập đúng mật khẩu cũ, mật khẩu mới hợp lệ</t>
  </si>
  <si>
    <t>Hiển thị “Thay đổi mật khẩu thành công”</t>
  </si>
  <si>
    <t>FUNC-CUSINFO-08</t>
  </si>
  <si>
    <t>Đổi mật khẩu sai</t>
  </si>
  <si>
    <t>Nhập sai mật khẩu cũ hoặc xác nhận mật khẩu không khớp</t>
  </si>
  <si>
    <t>Hiển thị thông báo lỗi tương ứng</t>
  </si>
  <si>
    <t>FUNC-CUSINFO-09</t>
  </si>
  <si>
    <t>Đăng nhập bằng tài khoản có ảnh</t>
  </si>
  <si>
    <t>Ảnh hiển thị đúng và tròn, không vỡ hình</t>
  </si>
  <si>
    <t>FUNC-CUSINFO-10</t>
  </si>
  <si>
    <t>Kiểm tra định dạng email</t>
  </si>
  <si>
    <t>Nhập sai định dạng email rồi lưu</t>
  </si>
  <si>
    <t>Hiển thị thông báo lỗi “Email không hợp lệ”</t>
  </si>
  <si>
    <t>GUI-PAY-01</t>
  </si>
  <si>
    <t>Mở trang chọn phương thức thanh toán</t>
  </si>
  <si>
    <t>GUI-PAY-02</t>
  </si>
  <si>
    <t>Hiển thị logo ngân hàng/đối tác</t>
  </si>
  <si>
    <t>Quan sát phần trên cùng</t>
  </si>
  <si>
    <t>GUI-PAY-03</t>
  </si>
  <si>
    <t>Hiển thị nút “Quay lại”</t>
  </si>
  <si>
    <t>Quan sát góc trái trên cùng</t>
  </si>
  <si>
    <t>Nút “&lt; Quay lại” hiển thị rõ, bấm được</t>
  </si>
  <si>
    <t>GUI-PAY-04</t>
  </si>
  <si>
    <t>Hiển thị lựa chọn “App Ngân hàng và Ví điện tử (VNPayQR)”</t>
  </si>
  <si>
    <t>Quan sát dòng đầu tiên</t>
  </si>
  <si>
    <t>Có dòng “App Ngân hàng và Ví điện tử (VNPayQR)” + biểu tượng QR</t>
  </si>
  <si>
    <t>GUI-PAY-05</t>
  </si>
  <si>
    <t>Hiển thị lựa chọn “Thẻ nội địa và tài khoản ngân hàng”</t>
  </si>
  <si>
    <t>Quan sát dòng thứ hai</t>
  </si>
  <si>
    <t>Có dòng “Thẻ nội địa và tài khoản ngân hàng” + biểu tượng ngân hàng</t>
  </si>
  <si>
    <t>GUI-PAY-06</t>
  </si>
  <si>
    <t>Hiển thị lựa chọn “Thẻ thanh toán quốc tế”</t>
  </si>
  <si>
    <t>Quan sát dòng thứ ba</t>
  </si>
  <si>
    <t>Có dòng “Thẻ thanh toán quốc tế” + biểu tượng các loại thẻ VISA/MasterCard</t>
  </si>
  <si>
    <t>GUI-PAY-07</t>
  </si>
  <si>
    <t>Hiển thị lựa chọn “App VNPay”</t>
  </si>
  <si>
    <t>Quan sát dòng cuối cùng</t>
  </si>
  <si>
    <t>Có dòng “App VNPay” + logo VNPayMP</t>
  </si>
  <si>
    <t>GUI-PAY-08</t>
  </si>
  <si>
    <t>Hiển thị thông tin hỗ trợ</t>
  </si>
  <si>
    <t>Quan sát cuối trang</t>
  </si>
  <si>
    <t>GUI-PAY-09</t>
  </si>
  <si>
    <t>Hiển thị chứng nhận bảo mật</t>
  </si>
  <si>
    <t>Quan sát góc dưới phải</t>
  </si>
  <si>
    <t>Có logo “secure GlobalSign” và “PCI DSS COMPLIANT” hiển thị đúng</t>
  </si>
  <si>
    <t>GUI-PAY-10</t>
  </si>
  <si>
    <t>Hiển thị biểu tượng ngôn ngữ</t>
  </si>
  <si>
    <t>Quan sát góc trên phải</t>
  </si>
  <si>
    <t>Có biểu tượng cờ (Anh) và chữ “En” hiển thị đúng vị trí</t>
  </si>
  <si>
    <t>GUI-PAY-11</t>
  </si>
  <si>
    <t>Hiển thị dòng bản quyền</t>
  </si>
  <si>
    <t>Hiển thị dòng “Phát triển bởi VNPay © 2025” căn giữa và đúng định dạng</t>
  </si>
  <si>
    <t>GUI-PAY-12</t>
  </si>
  <si>
    <t>Kiểm tra căn chỉnh tổng thể</t>
  </si>
  <si>
    <t>Quan sát toàn màn hình</t>
  </si>
  <si>
    <t>Các phần tử cân đối, font đồng nhất, không bị lệch khi thay đổi độ phân giải</t>
  </si>
  <si>
    <r>
      <t>Tiêu đề “</t>
    </r>
    <r>
      <rPr>
        <b/>
        <sz val="13"/>
        <color theme="1"/>
        <rFont val="Times New Roman"/>
        <family val="1"/>
      </rPr>
      <t>Chọn phương thức thanh toán (Test)</t>
    </r>
    <r>
      <rPr>
        <sz val="13"/>
        <color theme="1"/>
        <rFont val="Times New Roman"/>
        <family val="1"/>
      </rPr>
      <t>” hiển thị rõ, căn giữa</t>
    </r>
  </si>
  <si>
    <r>
      <t xml:space="preserve">Logo </t>
    </r>
    <r>
      <rPr>
        <b/>
        <sz val="13"/>
        <color theme="1"/>
        <rFont val="Times New Roman"/>
        <family val="1"/>
      </rPr>
      <t>OCB</t>
    </r>
    <r>
      <rPr>
        <sz val="13"/>
        <color theme="1"/>
        <rFont val="Times New Roman"/>
        <family val="1"/>
      </rPr>
      <t xml:space="preserve"> và </t>
    </r>
    <r>
      <rPr>
        <b/>
        <sz val="13"/>
        <color theme="1"/>
        <rFont val="Times New Roman"/>
        <family val="1"/>
      </rPr>
      <t>VNPay QR</t>
    </r>
    <r>
      <rPr>
        <sz val="13"/>
        <color theme="1"/>
        <rFont val="Times New Roman"/>
        <family val="1"/>
      </rPr>
      <t xml:space="preserve"> hiển thị đúng kích thước, không bị vỡ hình</t>
    </r>
  </si>
  <si>
    <t>Có email hỗ trợ hotrovnpay@vnpay.vn hiển thị rõ</t>
  </si>
  <si>
    <t>FUNC-PAY-01</t>
  </si>
  <si>
    <t>Chọn phương thức “App Ngân hàng và Ví điện tử (VNPayQR)”</t>
  </si>
  <si>
    <t>Chọn mục này rồi nhấn “Tiếp tục thanh toán”</t>
  </si>
  <si>
    <t>Hệ thống hiển thị mã QR để người dùng quét thanh toán</t>
  </si>
  <si>
    <t>FUNC-PAY-02</t>
  </si>
  <si>
    <t>Chọn phương thức “Thẻ nội địa và tài khoản ngân hàng”</t>
  </si>
  <si>
    <t>Hệ thống hiển thị form nhập thông tin thẻ nội địa (ngân hàng, số thẻ, ngày phát hành, v.v.)</t>
  </si>
  <si>
    <t>FUNC-PAY-03</t>
  </si>
  <si>
    <t>Chọn phương thức “Thẻ thanh toán quốc tế”</t>
  </si>
  <si>
    <t>Hệ thống hiển thị form nhập thông tin thẻ quốc tế (VISA, MasterCard, v.v.)</t>
  </si>
  <si>
    <t>FUNC-PAY-04</t>
  </si>
  <si>
    <t>Chọn phương thức “App VNPay”</t>
  </si>
  <si>
    <t>Hệ thống tự động mở ứng dụng VNPay trên thiết bị (nếu có) hoặc hiển thị hướng dẫn mở app</t>
  </si>
  <si>
    <t>FUNC-PAY-05</t>
  </si>
  <si>
    <t>Nhấn “Quay lại”</t>
  </si>
  <si>
    <t>Tại giao diện chọn phương thức thanh toán, nhấn “&lt; Quay lại”</t>
  </si>
  <si>
    <t>Hệ thống trở về trang “Xác nhận đơn hàng”</t>
  </si>
  <si>
    <t>FUNC-PAY-06</t>
  </si>
  <si>
    <t>Thanh toán thành công</t>
  </si>
  <si>
    <t>Quét QR hoặc nhập thông tin thẻ hợp lệ và xác nhận</t>
  </si>
  <si>
    <t>Hệ thống hiển thị thông báo “Thanh toán thành công” và cập nhật trạng thái đơn hàng = “Đã thanh toán”</t>
  </si>
  <si>
    <t>FUNC-PAY-07</t>
  </si>
  <si>
    <t>Thanh toán thất bại</t>
  </si>
  <si>
    <t>Nhập sai thông tin hoặc hủy thanh toán giữa chừng</t>
  </si>
  <si>
    <t>Hệ thống hiển thị thông báo lỗi “Thanh toán thất bại. Vui lòng thử lại”</t>
  </si>
  <si>
    <t>FUNC-PAY-08</t>
  </si>
  <si>
    <t>Hủy giao dịch thanh toán</t>
  </si>
  <si>
    <t>Trong quá trình chọn hoặc nhập thông tin, nhấn nút “Hủy”</t>
  </si>
  <si>
    <t>Giao dịch bị hủy, trở lại trang giỏ hàng hoặc đơn hàng chưa thanh toán</t>
  </si>
  <si>
    <t>FUNC-PAY-09</t>
  </si>
  <si>
    <t>Kiểm tra kết nối VNPay API</t>
  </si>
  <si>
    <t>Gửi yêu cầu thanh toán tới VNPay sandbox</t>
  </si>
  <si>
    <t>Hệ thống nhận phản hồi “responseCode=00” khi giao dịch thành công</t>
  </si>
  <si>
    <t>FUNC-PAY-10</t>
  </si>
  <si>
    <t>Lưu thông tin giao dịch</t>
  </si>
  <si>
    <t>Sau khi thanh toán thành công</t>
  </si>
  <si>
    <t>Dữ liệu giao dịch (mã GD, số tiền, thời gian, phương thức) được lưu vào bảng payment_transaction trong DB</t>
  </si>
  <si>
    <t>Báo cáo thông kế</t>
  </si>
  <si>
    <t>GUI_SHOW Báo cáo thông kế</t>
  </si>
  <si>
    <t>FUNCTION_SHOW Báo cáo thông kế</t>
  </si>
  <si>
    <t>FUNC-REV-01</t>
  </si>
  <si>
    <t>Hiển thị báo cáo tài chính theo tháng</t>
  </si>
  <si>
    <t>Hệ thống hiển thị dữ liệu doanh thu, tổng thu, tổng chi tương ứng tháng đã chọn</t>
  </si>
  <si>
    <t>FUNC-REV-02</t>
  </si>
  <si>
    <t>Hiển thị tổng thu</t>
  </si>
  <si>
    <t>Chọn tháng có dữ liệu bán hàng</t>
  </si>
  <si>
    <t>Ô “Tổng thu” hiển thị chính xác tổng số tiền thu được từ đơn hàng</t>
  </si>
  <si>
    <t>FUNC-REV-03</t>
  </si>
  <si>
    <t>Hiển thị tổng chi</t>
  </si>
  <si>
    <t>Chọn tháng có hoạt động nhập hàng hoặc chi phí</t>
  </si>
  <si>
    <t>Ô “Tổng chi” hiển thị đúng tổng số tiền chi</t>
  </si>
  <si>
    <t>FUNC-REV-04</t>
  </si>
  <si>
    <t>Tính toán doanh thu</t>
  </si>
  <si>
    <t>Thực hiện bán hàng, nhập hàng trong tháng</t>
  </si>
  <si>
    <t>Cột “Doanh thu” = Tổng thu – Tổng chi hiển thị chính xác</t>
  </si>
  <si>
    <t>FUNC-REV-05</t>
  </si>
  <si>
    <t>Hiển thị biểu đồ tài chính</t>
  </si>
  <si>
    <t>Sau khi nhấn “Xem”</t>
  </si>
  <si>
    <t>Biểu đồ cột thể hiện đúng tỷ lệ giữa Tổng thu – Tổng chi – Doanh thu</t>
  </si>
  <si>
    <t>FUNC-REV-06</t>
  </si>
  <si>
    <t>Hiển thị thống kê chi tiết hoạt động</t>
  </si>
  <si>
    <t>Kéo xuống phần “Thống kê chi tiết”</t>
  </si>
  <si>
    <t>Bảng hiển thị các dòng “Bán hàng”, “Nhận từ NCC”, “Nhập hàng”, “Trả khách hàng”, “Hủy hàng” cùng trị giá tương ứng</t>
  </si>
  <si>
    <t>FUNC-REV-07</t>
  </si>
  <si>
    <t>In báo cáo</t>
  </si>
  <si>
    <t>Hệ thống hiển thị giao diện xem trước và cho phép in báo cáo ra file PDF</t>
  </si>
  <si>
    <t>FUNC-REV-08</t>
  </si>
  <si>
    <t>Trở về trang trước</t>
  </si>
  <si>
    <t>Hệ thống quay lại trang “Quản lý doanh thu” hoặc “Trang chủ quản trị”</t>
  </si>
  <si>
    <t>FUNC-REV-09</t>
  </si>
  <si>
    <t>Kiểm tra hiển thị khi không có dữ liệu</t>
  </si>
  <si>
    <t>Chọn tháng chưa phát sinh giao dịch</t>
  </si>
  <si>
    <t>FUNC-REV-10</t>
  </si>
  <si>
    <t>Tự động cập nhật dữ liệu khi có đơn hàng mới</t>
  </si>
  <si>
    <t>Tạo đơn hàng mới trong tháng đang xem</t>
  </si>
  <si>
    <t>Hệ thống cập nhật lại tổng thu và doanh thu sau khi tải lại báo cáo</t>
  </si>
  <si>
    <r>
      <t xml:space="preserve">Chọn tháng và năm → Nhấn </t>
    </r>
    <r>
      <rPr>
        <b/>
        <sz val="13"/>
        <color theme="1"/>
        <rFont val="Times New Roman"/>
        <family val="1"/>
      </rPr>
      <t>“Xem”</t>
    </r>
  </si>
  <si>
    <r>
      <t xml:space="preserve">Nhấn nút </t>
    </r>
    <r>
      <rPr>
        <b/>
        <sz val="13"/>
        <color theme="1"/>
        <rFont val="Times New Roman"/>
        <family val="1"/>
      </rPr>
      <t>“In”</t>
    </r>
  </si>
  <si>
    <r>
      <t xml:space="preserve">Nhấn </t>
    </r>
    <r>
      <rPr>
        <b/>
        <sz val="13"/>
        <color theme="1"/>
        <rFont val="Times New Roman"/>
        <family val="1"/>
      </rPr>
      <t>“Trở về”</t>
    </r>
  </si>
  <si>
    <r>
      <t xml:space="preserve">Các ô thống kê hiển thị </t>
    </r>
    <r>
      <rPr>
        <b/>
        <sz val="13"/>
        <color theme="1"/>
        <rFont val="Times New Roman"/>
        <family val="1"/>
      </rPr>
      <t>0 VND</t>
    </r>
    <r>
      <rPr>
        <sz val="13"/>
        <color theme="1"/>
        <rFont val="Times New Roman"/>
        <family val="1"/>
      </rPr>
      <t>, biểu đồ trống</t>
    </r>
  </si>
  <si>
    <t>GUI-BC-01</t>
  </si>
  <si>
    <t>Hiển thị tiêu đề trang “Báo Cáo Tài Chính”</t>
  </si>
  <si>
    <t>Mở trang báo cáo thống kê</t>
  </si>
  <si>
    <t>Tiêu đề “📊 Báo Cáo Tài Chính” hiển thị rõ ràng, căn trái, màu xanh dương</t>
  </si>
  <si>
    <t>GUI-BC-02</t>
  </si>
  <si>
    <t>Hiển thị bộ lọc “Tháng” và “Năm”</t>
  </si>
  <si>
    <t>Quan sát phần đầu trang</t>
  </si>
  <si>
    <t>Có 2 dropdown chọn tháng và năm, hiển thị giá trị mặc định (tháng hiện tại, năm hiện tại)</t>
  </si>
  <si>
    <t>GUI-BC-03</t>
  </si>
  <si>
    <t>Nút “Xem” hiển thị rõ ràng</t>
  </si>
  <si>
    <t>Quan sát thanh bộ lọc</t>
  </si>
  <si>
    <t>Nút “👁️ Xem” có màu xanh, hiển thị biểu tượng mắt, hoạt động bình thường</t>
  </si>
  <si>
    <t>GUI-BC-04</t>
  </si>
  <si>
    <t>Nút “In” hiển thị đúng</t>
  </si>
  <si>
    <t>Kiểm tra thanh công cụ</t>
  </si>
  <si>
    <t>Nút “🖨️ In” hiển thị kế bên nút “Xem”, có biểu tượng máy in</t>
  </si>
  <si>
    <t>GUI-BC-05</t>
  </si>
  <si>
    <t>Nút “Trở về” hiển thị đúng vị trí</t>
  </si>
  <si>
    <t>Quan sát góc phải trên hoặc cạnh nút In</t>
  </si>
  <si>
    <t>Nút “Trở về” hiển thị đúng, màu trắng hoặc xanh nhạt</t>
  </si>
  <si>
    <t>GUI-BC-06</t>
  </si>
  <si>
    <t>Thẻ thống kê “Tổng thu” hiển thị đúng</t>
  </si>
  <si>
    <t>Chọn tháng có dữ liệu</t>
  </si>
  <si>
    <t>GUI-BC-07</t>
  </si>
  <si>
    <t>Thẻ thống kê “Tổng chi” hiển thị đúng</t>
  </si>
  <si>
    <t>Quan sát khối bên cạnh</t>
  </si>
  <si>
    <t>GUI-BC-08</t>
  </si>
  <si>
    <t>Thẻ “Doanh thu” hiển thị đúng</t>
  </si>
  <si>
    <t>Quan sát ô thứ 3</t>
  </si>
  <si>
    <t>GUI-BC-09</t>
  </si>
  <si>
    <t>Biểu đồ tài chính hiển thị</t>
  </si>
  <si>
    <t>Kéo xuống phần giữa trang</t>
  </si>
  <si>
    <t>Biểu đồ cột thể hiện tổng thu, tổng chi, doanh thu — trục Y có đơn vị VNĐ</t>
  </si>
  <si>
    <t>GUI-BC-10</t>
  </si>
  <si>
    <t>Tiêu đề “Biểu đồ tài chính” hiển thị</t>
  </si>
  <si>
    <t>Quan sát phía trên biểu đồ</t>
  </si>
  <si>
    <t>Tiêu đề có icon 📈 và chữ “Biểu đồ tài chính” căn trái, đậm</t>
  </si>
  <si>
    <r>
      <t xml:space="preserve">Hiển thị tổng thu màu </t>
    </r>
    <r>
      <rPr>
        <b/>
        <sz val="11"/>
        <color theme="1"/>
        <rFont val="Times New Roman"/>
        <family val="1"/>
      </rPr>
      <t>xanh lá cây</t>
    </r>
    <r>
      <rPr>
        <sz val="11"/>
        <color theme="1"/>
        <rFont val="Times New Roman"/>
        <family val="1"/>
      </rPr>
      <t>, giá trị đúng (VD: 12,140,000 VND)</t>
    </r>
  </si>
  <si>
    <r>
      <t xml:space="preserve">Hiển thị tổng chi màu </t>
    </r>
    <r>
      <rPr>
        <b/>
        <sz val="11"/>
        <color theme="1"/>
        <rFont val="Times New Roman"/>
        <family val="1"/>
      </rPr>
      <t>đỏ</t>
    </r>
    <r>
      <rPr>
        <sz val="11"/>
        <color theme="1"/>
        <rFont val="Times New Roman"/>
        <family val="1"/>
      </rPr>
      <t>, giá trị “0 VND” nếu không có dữ liệu</t>
    </r>
  </si>
  <si>
    <r>
      <t xml:space="preserve">Hiển thị “Doanh thu” màu </t>
    </r>
    <r>
      <rPr>
        <b/>
        <sz val="11"/>
        <color theme="1"/>
        <rFont val="Times New Roman"/>
        <family val="1"/>
      </rPr>
      <t>xanh dương</t>
    </r>
    <r>
      <rPr>
        <sz val="11"/>
        <color theme="1"/>
        <rFont val="Times New Roman"/>
        <family val="1"/>
      </rPr>
      <t>, hiển thị chính xác số tiền</t>
    </r>
  </si>
  <si>
    <t>GUI_SHOW Quản lý kho</t>
  </si>
  <si>
    <t>FUNCTION_SHOW Quản lý lương</t>
  </si>
  <si>
    <t>GUI-BCVT-01</t>
  </si>
  <si>
    <t>Hiển thị tiêu đề trang “Thống Kê Vật Tư”</t>
  </si>
  <si>
    <t>Tiêu đề “📊 Thống Kê Vật Tư” hiển thị rõ ràng, căn giữa, màu xanh lam</t>
  </si>
  <si>
    <t>Tiêu đề hiển thị rõ ràng</t>
  </si>
  <si>
    <t>GUI-BCVT-02</t>
  </si>
  <si>
    <t>Hiển thị bộ lọc “Từ ngày” và “Đến ngày”</t>
  </si>
  <si>
    <t>Hiển thị đúng</t>
  </si>
  <si>
    <t>GUI-BCVT-03</t>
  </si>
  <si>
    <t>Nút “Xem” hiển thị đúng vị trí</t>
  </si>
  <si>
    <t>Nút “Xem” nằm cạnh bộ lọc, màu xanh, có icon 👁️</t>
  </si>
  <si>
    <t>Đúng như mong đợi</t>
  </si>
  <si>
    <t>GUI-BCVT-04</t>
  </si>
  <si>
    <t>Nút “In” hiển thị đúng vị trí</t>
  </si>
  <si>
    <t>Kiểm tra thanh chức năng</t>
  </si>
  <si>
    <t>Nút “In” hiển thị kế bên “Xem”, có icon 🖨️, màu xám nhạt</t>
  </si>
  <si>
    <t>GUI-BCVT-05</t>
  </si>
  <si>
    <t>Quan sát góc phải trên</t>
  </si>
  <si>
    <t>Nút “↩️ Trở về” hiển thị ở góc phải, nền trắng viền xám</t>
  </si>
  <si>
    <t>Hiển thị chính xác</t>
  </si>
  <si>
    <t>GUI-BCVT-06</t>
  </si>
  <si>
    <t>Bảng dữ liệu hiển thị cột tiêu đề</t>
  </si>
  <si>
    <t>Chọn khoảng thời gian có dữ liệu</t>
  </si>
  <si>
    <t>Bảng hiển thị đầy đủ các cột: Mã VT, Tên vật tư, Nhập, Bán, Tồn kho, Hư hỏng</t>
  </si>
  <si>
    <t>GUI-BCVT-07</t>
  </si>
  <si>
    <t>Cột “Vật tư tồn kho” hiển thị màu cảnh báo khi âm</t>
  </si>
  <si>
    <t>Quan sát dữ liệu</t>
  </si>
  <si>
    <t>Hàng có giá trị âm được đánh màu đỏ cảnh báo</t>
  </si>
  <si>
    <t>GUI-BCVT-08</t>
  </si>
  <si>
    <t>Nút sắp xếp ↑↓ hoạt động đúng</t>
  </si>
  <si>
    <t>Nhấn vào tiêu đề cột</t>
  </si>
  <si>
    <t>Dữ liệu được sắp tăng/giảm tương ứng khi nhấn</t>
  </si>
  <si>
    <t>GUI-BCVT-09</t>
  </si>
  <si>
    <t>Kiểm tra khi không có dữ liệu trong khoảng ngày</t>
  </si>
  <si>
    <t>Chọn khoảng ngày không có dữ liệu, nhấn “Xem”</t>
  </si>
  <si>
    <t>Hiển thị thông báo “Không có dữ liệu thống kê trong khoảng thời gian này”</t>
  </si>
  <si>
    <t>GUI-BCVT-10</t>
  </si>
  <si>
    <t>Kiểm tra khi có lỗi server hoặc kết nối</t>
  </si>
  <si>
    <t>Mô phỏng mất kết nối khi nhấn “Xem”</t>
  </si>
  <si>
    <t>Hiển thị thông báo lỗi: “Không thể tải dữ liệu. Vui lòng thử lại sau.”</t>
  </si>
  <si>
    <t>Có 2 ô nhập ngày dạng dd/mm/yyyy, có biểu tượng lịch</t>
  </si>
  <si>
    <t>FUNC-QLL-01</t>
  </si>
  <si>
    <t>Hiển thị tiêu đề trang “Quản lý lương”</t>
  </si>
  <si>
    <t>Mở trang “Quản lý lương”</t>
  </si>
  <si>
    <t>Tiêu đề “💼 Quản lý lương” hiển thị rõ ràng, căn giữa, màu xanh lam</t>
  </si>
  <si>
    <t>FUNC-QLL-02</t>
  </si>
  <si>
    <t>Kiểm tra dropdown chọn “Tháng/Năm”</t>
  </si>
  <si>
    <t>Có 2 dropdown chọn Tháng và Năm, hiển thị đúng giá trị từ 1–12 và năm hiện tại</t>
  </si>
  <si>
    <t>FUNC-QLL-03</t>
  </si>
  <si>
    <t>Nút “Xem” hiển thị và hoạt động đúng</t>
  </si>
  <si>
    <t>Chọn tháng/năm, nhấn “Xem”</t>
  </si>
  <si>
    <t>Hệ thống hiển thị danh sách nhân viên cùng bảng lương tương ứng</t>
  </si>
  <si>
    <t>FUNC-QLL-04</t>
  </si>
  <si>
    <t>Nút “Tính lương” hoạt động đúng</t>
  </si>
  <si>
    <t>Nhấn “Tính lương” sau khi chọn kỳ</t>
  </si>
  <si>
    <t>Lương được tính lại theo công thức: Lương = Lương cơ bản + Phụ cấp – Khấu trừ</t>
  </si>
  <si>
    <t>FUNC-QLL-05</t>
  </si>
  <si>
    <t>Nút “Xuất Excel” hoạt động đúng</t>
  </si>
  <si>
    <t>Nhấn “Xuất Excel” sau khi xem lương</t>
  </si>
  <si>
    <t>File Excel được tải về, chứa đầy đủ dữ liệu lương trong bảng hiện tại</t>
  </si>
  <si>
    <t>FUNC-QLL-06</t>
  </si>
  <si>
    <t>Kiểm tra tìm kiếm nhân viên</t>
  </si>
  <si>
    <t>Nhập tên hoặc mã nhân viên vào ô tìm kiếm, nhấn Enter</t>
  </si>
  <si>
    <t>Hiển thị danh sách nhân viên khớp với từ khóa tìm kiếm</t>
  </si>
  <si>
    <t>FUNC-QLL-07</t>
  </si>
  <si>
    <t>Kiểm tra cột “Tổng lương” hiển thị chính xác</t>
  </si>
  <si>
    <t>Quan sát bảng dữ liệu sau khi tính</t>
  </si>
  <si>
    <t>Cột “Tổng lương” hiển thị đúng giá trị, không rỗng, không lỗi format</t>
  </si>
  <si>
    <t>FUNC-QLL-08</t>
  </si>
  <si>
    <t>Kiểm tra lỗi khi chưa chọn tháng/năm</t>
  </si>
  <si>
    <t>Để trống dropdown, nhấn “Xem”</t>
  </si>
  <si>
    <t>Hiển thị cảnh báo “Vui lòng chọn tháng và năm cần xem”</t>
  </si>
  <si>
    <t>FUNC-QLL-09</t>
  </si>
  <si>
    <t>Kiểm tra trường hợp không có dữ liệu lương</t>
  </si>
  <si>
    <t>Chọn tháng/năm chưa có dữ liệu, nhấn “Xem”</t>
  </si>
  <si>
    <t>Hiển thị thông báo “Không có dữ liệu lương trong kỳ này”</t>
  </si>
  <si>
    <t>FUNC-QLL-10</t>
  </si>
  <si>
    <t>Kiểm tra hiển thị tổng hợp (Tổng nhân viên, Tổng lương chi trả)</t>
  </si>
  <si>
    <t>Quan sát phần cuối bảng</t>
  </si>
  <si>
    <t>Hiển thị dòng tổng: “Tổng nhân viên: X – Tổng lương: Y VNĐ”</t>
  </si>
  <si>
    <t>Kiểm tra định dạng tiền tệ</t>
  </si>
  <si>
    <t>GUI_SHOW_001</t>
  </si>
  <si>
    <t>GUI_SHOW_002</t>
  </si>
  <si>
    <t>GUI_SHOW_003</t>
  </si>
  <si>
    <t>Kiểm tra giao diện trang “Quản lý hóa đơn”</t>
  </si>
  <si>
    <t>Mở menu “Hóa đơn” → chọn “Quản lý hóa đơn”</t>
  </si>
  <si>
    <t>Trang hiển thị đầy đủ tiêu đề, ô tìm kiếm, bộ lọc, bảng danh sách, và nút thao tác</t>
  </si>
  <si>
    <t>Hiển thị đúng như ảnh mẫu</t>
  </si>
  <si>
    <t>Kiểm tra bố cục và căn chỉnh bảng danh sách hóa đơn</t>
  </si>
  <si>
    <t>Quan sát bảng danh sách</t>
  </si>
  <si>
    <t>Cột hiển thị thẳng hàng, không bị tràn hoặc lệch khung</t>
  </si>
  <si>
    <t>Căn chỉnh chuẩn, không lỗi CSS</t>
  </si>
  <si>
    <t>Kiểm tra màu sắc và font chữ</t>
  </si>
  <si>
    <t>So sánh màu nền header, các nút, text</t>
  </si>
  <si>
    <t>Màu nền header đậm, nút xem màu xanh, nút xóa màu đỏ, font rõ ràng</t>
  </si>
  <si>
    <t>Hiển thị đúng yêu cầu thiết kế</t>
  </si>
  <si>
    <t>FUNCTION_SHOW_001</t>
  </si>
  <si>
    <t>Kiểm tra hiển thị danh sách hóa đơn</t>
  </si>
  <si>
    <t>Mở trang → Quan sát danh sách hóa đơn</t>
  </si>
  <si>
    <t>Danh sách hiển thị tất cả hóa đơn trong DB</t>
  </si>
  <si>
    <t>Hiển thị đủ 8 hóa đơn như hình</t>
  </si>
  <si>
    <t>FUNCTION_SHOW_002</t>
  </si>
  <si>
    <t>Quan sát cột “Tổng tiền”, “VAT”, “Giảm giá”, “Thành tiền”</t>
  </si>
  <si>
    <t>Tiền được format dạng ###,### ₫</t>
  </si>
  <si>
    <t>Định dạng đúng, có ký hiệu ₫</t>
  </si>
  <si>
    <t>FUNCTION_SHOW_003</t>
  </si>
  <si>
    <t>Kiểm tra bộ lọc khách hàng</t>
  </si>
  <si>
    <t>Chọn 1 khách hàng trong dropdown</t>
  </si>
  <si>
    <t>Hiển thị đúng các hóa đơn của khách hàng đó</t>
  </si>
  <si>
    <t>Đúng dữ liệu khách hàng</t>
  </si>
  <si>
    <t>FUNCTION_SHOW_004</t>
  </si>
  <si>
    <t>Kiểm tra tìm kiếm hóa đơn theo mã</t>
  </si>
  <si>
    <t>Nhập “INV0005” → Enter</t>
  </si>
  <si>
    <t>Hiển thị hóa đơn có mã INV0005</t>
  </si>
  <si>
    <t>Kết quả đúng 1 dòng INV0005</t>
  </si>
  <si>
    <t>FUNCTION_SHOW_005</t>
  </si>
  <si>
    <t>Kiểm tra lọc theo ngày</t>
  </si>
  <si>
    <t>Chọn khoảng ngày 01/03/2023 - 30/06/2023</t>
  </si>
  <si>
    <t>Chỉ hiển thị hóa đơn trong khoảng này</t>
  </si>
  <si>
    <t>Hiển thị đúng các hóa đơn trong range</t>
  </si>
  <si>
    <t>FUNCTION_SHOW_006</t>
  </si>
  <si>
    <t>Kiểm tra nút “Reset bộ lọc”</t>
  </si>
  <si>
    <t>Bấm “Reset bộ lọc” sau khi lọc</t>
  </si>
  <si>
    <t>Toàn bộ danh sách hiển thị lại đầy đủ</t>
  </si>
  <si>
    <t>Hoạt động đúng</t>
  </si>
  <si>
    <t>FUNCTION_SHOW_007</t>
  </si>
  <si>
    <t>Kiểm tra tổng cộng</t>
  </si>
  <si>
    <t>Quan sát dòng cuối bảng</t>
  </si>
  <si>
    <t>Tổng cộng chính xác các cột</t>
  </si>
  <si>
    <t>Tính đúng 10,100,000 ₫, 986,000 ₫, 240,000 ₫, 10,846,000 ₫</t>
  </si>
  <si>
    <t>15/11/2025</t>
  </si>
  <si>
    <t>16/11/2025</t>
  </si>
  <si>
    <t>20/11/2025</t>
  </si>
  <si>
    <t>19/11/2025</t>
  </si>
  <si>
    <t>23/11/2025</t>
  </si>
  <si>
    <t>24/11/2025</t>
  </si>
  <si>
    <t>28/11/2025</t>
  </si>
  <si>
    <t>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</si>
</sst>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3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b/>
      <sz val="13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8"/>
      <name val="Calibri"/>
      <family val="2"/>
      <scheme val="minor"/>
    </font>
    <font>
      <sz val="13"/>
      <color rgb="FF00000A"/>
      <name val="Times New Roman"/>
      <family val="1"/>
    </font>
    <font>
      <b/>
      <sz val="11"/>
      <color theme="1"/>
      <name val="Times New Roman"/>
      <family val="1"/>
    </font>
    <font>
      <sz val="13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0"/>
        <bgColor indexed="41"/>
      </patternFill>
    </fill>
  </fills>
  <borders count="4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</cellStyleXfs>
  <cellXfs count="205">
    <xf numFmtId="0" fontId="0" fillId="0" borderId="0" xfId="0"/>
    <xf numFmtId="0" fontId="7" fillId="0" borderId="0" xfId="1" applyFont="1" applyBorder="1" applyProtection="1">
      <alignment vertical="center"/>
    </xf>
    <xf numFmtId="0" fontId="8" fillId="0" borderId="0" xfId="1" applyFont="1" applyBorder="1" applyAlignment="1" applyProtection="1"/>
    <xf numFmtId="0" fontId="7" fillId="0" borderId="0" xfId="1" applyFont="1" applyBorder="1" applyAlignment="1" applyProtection="1"/>
    <xf numFmtId="164" fontId="7" fillId="0" borderId="0" xfId="1" applyNumberFormat="1" applyFont="1" applyBorder="1" applyAlignment="1" applyProtection="1"/>
    <xf numFmtId="0" fontId="10" fillId="0" borderId="0" xfId="1" applyFont="1" applyBorder="1" applyProtection="1">
      <alignment vertical="center"/>
    </xf>
    <xf numFmtId="0" fontId="7" fillId="3" borderId="0" xfId="1" applyFont="1" applyFill="1" applyBorder="1" applyProtection="1">
      <alignment vertical="center"/>
    </xf>
    <xf numFmtId="0" fontId="9" fillId="0" borderId="0" xfId="0" applyFont="1"/>
    <xf numFmtId="0" fontId="5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vertical="center" wrapText="1"/>
    </xf>
    <xf numFmtId="0" fontId="11" fillId="0" borderId="5" xfId="1" applyFont="1" applyBorder="1" applyAlignment="1" applyProtection="1">
      <alignment horizontal="center" vertical="center"/>
    </xf>
    <xf numFmtId="0" fontId="11" fillId="0" borderId="5" xfId="1" applyFont="1" applyBorder="1" applyAlignment="1" applyProtection="1">
      <alignment horizontal="center"/>
    </xf>
    <xf numFmtId="0" fontId="11" fillId="0" borderId="5" xfId="1" applyFont="1" applyBorder="1" applyAlignment="1" applyProtection="1">
      <alignment horizontal="center" vertical="top"/>
    </xf>
    <xf numFmtId="0" fontId="5" fillId="0" borderId="5" xfId="0" applyFont="1" applyBorder="1" applyAlignment="1">
      <alignment horizontal="center"/>
    </xf>
    <xf numFmtId="0" fontId="11" fillId="0" borderId="6" xfId="1" applyFont="1" applyBorder="1" applyProtection="1">
      <alignment vertical="center"/>
    </xf>
    <xf numFmtId="0" fontId="14" fillId="0" borderId="6" xfId="1" applyFont="1" applyBorder="1" applyAlignment="1" applyProtection="1">
      <alignment vertical="top" wrapText="1"/>
    </xf>
    <xf numFmtId="0" fontId="4" fillId="0" borderId="6" xfId="1" applyFont="1" applyBorder="1" applyAlignment="1" applyProtection="1">
      <alignment wrapText="1"/>
    </xf>
    <xf numFmtId="0" fontId="11" fillId="0" borderId="3" xfId="1" applyFont="1" applyBorder="1" applyProtection="1">
      <alignment vertical="center"/>
    </xf>
    <xf numFmtId="0" fontId="14" fillId="0" borderId="3" xfId="1" applyFont="1" applyBorder="1" applyAlignment="1" applyProtection="1">
      <alignment vertical="top" wrapText="1"/>
    </xf>
    <xf numFmtId="0" fontId="11" fillId="0" borderId="3" xfId="1" applyFont="1" applyBorder="1" applyAlignment="1" applyProtection="1"/>
    <xf numFmtId="0" fontId="15" fillId="0" borderId="3" xfId="1" applyFont="1" applyBorder="1" applyAlignment="1" applyProtection="1"/>
    <xf numFmtId="0" fontId="3" fillId="2" borderId="3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/>
    </xf>
    <xf numFmtId="165" fontId="4" fillId="0" borderId="3" xfId="2" applyNumberFormat="1" applyFont="1" applyBorder="1" applyAlignment="1" applyProtection="1">
      <alignment horizontal="center"/>
    </xf>
    <xf numFmtId="1" fontId="4" fillId="0" borderId="3" xfId="2" applyNumberFormat="1" applyFont="1" applyBorder="1" applyAlignment="1" applyProtection="1">
      <alignment horizontal="center"/>
    </xf>
    <xf numFmtId="0" fontId="4" fillId="0" borderId="18" xfId="1" applyFont="1" applyBorder="1" applyAlignment="1" applyProtection="1">
      <alignment horizontal="center"/>
    </xf>
    <xf numFmtId="165" fontId="4" fillId="0" borderId="18" xfId="2" applyNumberFormat="1" applyFont="1" applyBorder="1" applyAlignment="1" applyProtection="1">
      <alignment horizontal="center"/>
    </xf>
    <xf numFmtId="1" fontId="4" fillId="0" borderId="18" xfId="2" applyNumberFormat="1" applyFont="1" applyBorder="1" applyAlignment="1" applyProtection="1">
      <alignment horizontal="center"/>
    </xf>
    <xf numFmtId="0" fontId="4" fillId="2" borderId="3" xfId="1" applyFont="1" applyFill="1" applyBorder="1" applyAlignment="1" applyProtection="1">
      <alignment horizontal="center"/>
    </xf>
    <xf numFmtId="0" fontId="3" fillId="2" borderId="3" xfId="1" applyFont="1" applyFill="1" applyBorder="1" applyAlignment="1" applyProtection="1"/>
    <xf numFmtId="165" fontId="3" fillId="2" borderId="3" xfId="1" applyNumberFormat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0" fontId="3" fillId="3" borderId="8" xfId="1" applyFont="1" applyFill="1" applyBorder="1" applyAlignment="1" applyProtection="1"/>
    <xf numFmtId="0" fontId="11" fillId="3" borderId="9" xfId="1" applyFont="1" applyFill="1" applyBorder="1" applyAlignment="1" applyProtection="1">
      <alignment horizontal="center"/>
    </xf>
    <xf numFmtId="0" fontId="16" fillId="3" borderId="10" xfId="1" applyFont="1" applyFill="1" applyBorder="1" applyAlignment="1" applyProtection="1">
      <alignment horizontal="center"/>
    </xf>
    <xf numFmtId="0" fontId="16" fillId="3" borderId="0" xfId="1" applyFont="1" applyFill="1" applyBorder="1" applyAlignment="1" applyProtection="1">
      <alignment horizontal="center"/>
    </xf>
    <xf numFmtId="0" fontId="3" fillId="3" borderId="0" xfId="1" applyFont="1" applyFill="1" applyBorder="1" applyAlignment="1" applyProtection="1">
      <alignment horizontal="center"/>
    </xf>
    <xf numFmtId="9" fontId="16" fillId="3" borderId="0" xfId="2" applyFont="1" applyFill="1" applyBorder="1" applyAlignment="1" applyProtection="1">
      <alignment horizontal="center"/>
    </xf>
    <xf numFmtId="0" fontId="4" fillId="0" borderId="0" xfId="1" applyFont="1" applyBorder="1" applyAlignment="1" applyProtection="1"/>
    <xf numFmtId="0" fontId="11" fillId="0" borderId="11" xfId="1" applyFont="1" applyBorder="1" applyAlignment="1" applyProtection="1">
      <alignment horizontal="left"/>
    </xf>
    <xf numFmtId="0" fontId="4" fillId="0" borderId="12" xfId="1" applyFont="1" applyBorder="1" applyAlignment="1" applyProtection="1"/>
    <xf numFmtId="0" fontId="4" fillId="0" borderId="11" xfId="1" applyFont="1" applyBorder="1" applyAlignment="1" applyProtection="1"/>
    <xf numFmtId="2" fontId="11" fillId="0" borderId="7" xfId="1" applyNumberFormat="1" applyFont="1" applyBorder="1" applyAlignment="1" applyProtection="1">
      <alignment horizontal="right" wrapText="1"/>
    </xf>
    <xf numFmtId="0" fontId="4" fillId="0" borderId="0" xfId="1" applyFont="1" applyBorder="1" applyProtection="1">
      <alignment vertical="center"/>
    </xf>
    <xf numFmtId="0" fontId="4" fillId="0" borderId="0" xfId="1" applyFont="1" applyBorder="1" applyAlignment="1" applyProtection="1">
      <alignment horizontal="center" wrapText="1"/>
    </xf>
    <xf numFmtId="0" fontId="4" fillId="0" borderId="13" xfId="1" applyFont="1" applyBorder="1" applyAlignment="1" applyProtection="1"/>
    <xf numFmtId="0" fontId="11" fillId="0" borderId="14" xfId="1" applyFont="1" applyBorder="1" applyAlignment="1" applyProtection="1">
      <alignment horizontal="left"/>
    </xf>
    <xf numFmtId="0" fontId="4" fillId="0" borderId="15" xfId="1" applyFont="1" applyBorder="1" applyAlignment="1" applyProtection="1"/>
    <xf numFmtId="0" fontId="4" fillId="0" borderId="16" xfId="1" applyFont="1" applyBorder="1" applyAlignment="1" applyProtection="1"/>
    <xf numFmtId="2" fontId="11" fillId="0" borderId="17" xfId="1" applyNumberFormat="1" applyFont="1" applyBorder="1" applyAlignment="1" applyProtection="1">
      <alignment horizontal="right" wrapText="1"/>
    </xf>
    <xf numFmtId="0" fontId="4" fillId="0" borderId="13" xfId="1" applyFont="1" applyBorder="1" applyProtection="1">
      <alignment vertical="center"/>
    </xf>
    <xf numFmtId="0" fontId="4" fillId="0" borderId="13" xfId="1" applyFont="1" applyBorder="1" applyAlignment="1" applyProtection="1">
      <alignment horizontal="center" wrapText="1"/>
    </xf>
    <xf numFmtId="0" fontId="12" fillId="0" borderId="22" xfId="0" applyFont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9" fontId="16" fillId="3" borderId="23" xfId="2" applyFont="1" applyFill="1" applyBorder="1" applyAlignment="1" applyProtection="1">
      <alignment horizontal="center"/>
    </xf>
    <xf numFmtId="0" fontId="4" fillId="0" borderId="23" xfId="1" applyFont="1" applyBorder="1" applyAlignment="1" applyProtection="1">
      <alignment horizontal="center" wrapText="1"/>
    </xf>
    <xf numFmtId="0" fontId="4" fillId="0" borderId="24" xfId="1" applyFont="1" applyBorder="1" applyAlignment="1" applyProtection="1">
      <alignment horizontal="center" wrapText="1"/>
    </xf>
    <xf numFmtId="0" fontId="5" fillId="0" borderId="1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5" xfId="0" applyFont="1" applyBorder="1" applyAlignment="1">
      <alignment vertical="center" wrapText="1"/>
    </xf>
    <xf numFmtId="0" fontId="4" fillId="0" borderId="26" xfId="1" applyFont="1" applyBorder="1" applyAlignment="1" applyProtection="1">
      <alignment horizontal="center"/>
    </xf>
    <xf numFmtId="165" fontId="4" fillId="0" borderId="26" xfId="2" applyNumberFormat="1" applyFont="1" applyBorder="1" applyAlignment="1" applyProtection="1">
      <alignment horizontal="center"/>
    </xf>
    <xf numFmtId="1" fontId="4" fillId="0" borderId="26" xfId="2" applyNumberFormat="1" applyFont="1" applyBorder="1" applyAlignment="1" applyProtection="1">
      <alignment horizontal="center"/>
    </xf>
    <xf numFmtId="0" fontId="11" fillId="0" borderId="0" xfId="0" applyFont="1" applyAlignment="1">
      <alignment vertical="center"/>
    </xf>
    <xf numFmtId="0" fontId="5" fillId="0" borderId="18" xfId="0" applyFont="1" applyBorder="1"/>
    <xf numFmtId="0" fontId="13" fillId="0" borderId="18" xfId="0" applyFont="1" applyBorder="1"/>
    <xf numFmtId="0" fontId="5" fillId="0" borderId="18" xfId="0" applyFont="1" applyBorder="1" applyAlignment="1">
      <alignment horizontal="right" vertical="top" wrapText="1"/>
    </xf>
    <xf numFmtId="0" fontId="5" fillId="0" borderId="18" xfId="0" applyFont="1" applyBorder="1" applyAlignment="1">
      <alignment horizontal="center" vertical="top"/>
    </xf>
    <xf numFmtId="14" fontId="5" fillId="0" borderId="18" xfId="0" applyNumberFormat="1" applyFont="1" applyBorder="1" applyAlignment="1">
      <alignment horizontal="center" vertical="top"/>
    </xf>
    <xf numFmtId="0" fontId="5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164" fontId="17" fillId="9" borderId="18" xfId="0" applyNumberFormat="1" applyFont="1" applyFill="1" applyBorder="1" applyAlignment="1">
      <alignment horizontal="center" vertical="center"/>
    </xf>
    <xf numFmtId="0" fontId="17" fillId="5" borderId="18" xfId="0" applyFont="1" applyFill="1" applyBorder="1"/>
    <xf numFmtId="0" fontId="17" fillId="5" borderId="18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/>
    </xf>
    <xf numFmtId="0" fontId="13" fillId="2" borderId="3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left" vertical="center"/>
    </xf>
    <xf numFmtId="0" fontId="17" fillId="9" borderId="18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left" vertical="center"/>
    </xf>
    <xf numFmtId="0" fontId="13" fillId="7" borderId="27" xfId="0" applyFont="1" applyFill="1" applyBorder="1" applyAlignment="1">
      <alignment horizontal="left" vertical="center"/>
    </xf>
    <xf numFmtId="0" fontId="13" fillId="7" borderId="28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top" wrapText="1"/>
    </xf>
    <xf numFmtId="164" fontId="3" fillId="2" borderId="18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top"/>
    </xf>
    <xf numFmtId="0" fontId="11" fillId="4" borderId="4" xfId="0" applyFont="1" applyFill="1" applyBorder="1" applyAlignment="1">
      <alignment horizontal="left"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10" borderId="0" xfId="0" applyFont="1" applyFill="1" applyBorder="1" applyAlignment="1">
      <alignment vertical="center"/>
    </xf>
    <xf numFmtId="0" fontId="4" fillId="10" borderId="18" xfId="0" applyFont="1" applyFill="1" applyBorder="1" applyAlignment="1">
      <alignment vertical="center"/>
    </xf>
    <xf numFmtId="14" fontId="4" fillId="10" borderId="18" xfId="0" applyNumberFormat="1" applyFont="1" applyFill="1" applyBorder="1" applyAlignment="1">
      <alignment vertical="center"/>
    </xf>
    <xf numFmtId="0" fontId="4" fillId="0" borderId="0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/>
    </xf>
    <xf numFmtId="0" fontId="13" fillId="4" borderId="4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left" vertical="center"/>
    </xf>
    <xf numFmtId="0" fontId="13" fillId="4" borderId="28" xfId="0" applyFont="1" applyFill="1" applyBorder="1" applyAlignment="1">
      <alignment horizontal="left" vertical="center"/>
    </xf>
    <xf numFmtId="0" fontId="13" fillId="4" borderId="41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left" vertical="center"/>
    </xf>
    <xf numFmtId="0" fontId="5" fillId="0" borderId="18" xfId="0" applyFont="1" applyBorder="1" applyAlignment="1">
      <alignment vertical="center" wrapText="1"/>
    </xf>
    <xf numFmtId="0" fontId="5" fillId="0" borderId="0" xfId="0" applyFont="1" applyBorder="1"/>
    <xf numFmtId="0" fontId="13" fillId="4" borderId="4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left" vertical="center"/>
    </xf>
    <xf numFmtId="0" fontId="13" fillId="4" borderId="28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left" vertical="center"/>
    </xf>
    <xf numFmtId="0" fontId="13" fillId="4" borderId="28" xfId="0" applyFont="1" applyFill="1" applyBorder="1" applyAlignment="1">
      <alignment horizontal="left" vertical="center"/>
    </xf>
    <xf numFmtId="0" fontId="13" fillId="0" borderId="18" xfId="0" applyFont="1" applyBorder="1" applyAlignment="1">
      <alignment vertical="center" wrapText="1"/>
    </xf>
    <xf numFmtId="0" fontId="17" fillId="9" borderId="18" xfId="0" applyFont="1" applyFill="1" applyBorder="1" applyAlignment="1">
      <alignment horizontal="center" vertical="center"/>
    </xf>
    <xf numFmtId="0" fontId="21" fillId="0" borderId="18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5" fillId="0" borderId="38" xfId="0" applyFont="1" applyBorder="1"/>
    <xf numFmtId="0" fontId="5" fillId="0" borderId="0" xfId="0" applyFont="1" applyAlignment="1"/>
    <xf numFmtId="164" fontId="17" fillId="9" borderId="18" xfId="0" applyNumberFormat="1" applyFont="1" applyFill="1" applyBorder="1" applyAlignment="1">
      <alignment vertical="center"/>
    </xf>
    <xf numFmtId="0" fontId="13" fillId="7" borderId="27" xfId="0" applyFont="1" applyFill="1" applyBorder="1" applyAlignment="1">
      <alignment vertical="center"/>
    </xf>
    <xf numFmtId="14" fontId="22" fillId="0" borderId="0" xfId="0" applyNumberFormat="1" applyFont="1" applyAlignment="1"/>
    <xf numFmtId="14" fontId="22" fillId="0" borderId="18" xfId="0" applyNumberFormat="1" applyFont="1" applyBorder="1" applyAlignment="1"/>
    <xf numFmtId="0" fontId="13" fillId="4" borderId="27" xfId="0" applyFont="1" applyFill="1" applyBorder="1" applyAlignment="1">
      <alignment vertical="center"/>
    </xf>
    <xf numFmtId="14" fontId="22" fillId="0" borderId="1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22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top"/>
    </xf>
    <xf numFmtId="0" fontId="22" fillId="0" borderId="18" xfId="0" applyFont="1" applyBorder="1" applyAlignment="1">
      <alignment horizontal="center" wrapText="1"/>
    </xf>
    <xf numFmtId="0" fontId="5" fillId="0" borderId="27" xfId="0" applyFont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2" fillId="0" borderId="18" xfId="0" applyFont="1" applyBorder="1" applyAlignment="1">
      <alignment horizontal="center"/>
    </xf>
    <xf numFmtId="0" fontId="13" fillId="4" borderId="1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vertical="center"/>
    </xf>
    <xf numFmtId="0" fontId="11" fillId="4" borderId="42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3" fillId="4" borderId="27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7" borderId="4" xfId="0" applyFont="1" applyFill="1" applyBorder="1" applyAlignment="1">
      <alignment horizontal="left" vertical="center"/>
    </xf>
    <xf numFmtId="0" fontId="13" fillId="7" borderId="27" xfId="0" applyFont="1" applyFill="1" applyBorder="1" applyAlignment="1">
      <alignment horizontal="left" vertical="center"/>
    </xf>
    <xf numFmtId="0" fontId="13" fillId="7" borderId="28" xfId="0" applyFont="1" applyFill="1" applyBorder="1" applyAlignment="1">
      <alignment horizontal="left" vertical="center"/>
    </xf>
    <xf numFmtId="0" fontId="18" fillId="8" borderId="18" xfId="0" applyFont="1" applyFill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17" fillId="9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 wrapText="1"/>
    </xf>
    <xf numFmtId="0" fontId="17" fillId="8" borderId="38" xfId="0" applyFont="1" applyFill="1" applyBorder="1" applyAlignment="1">
      <alignment horizontal="center"/>
    </xf>
    <xf numFmtId="0" fontId="17" fillId="8" borderId="39" xfId="0" applyFont="1" applyFill="1" applyBorder="1" applyAlignment="1">
      <alignment horizontal="center"/>
    </xf>
    <xf numFmtId="0" fontId="17" fillId="8" borderId="40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0" fontId="17" fillId="9" borderId="40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 wrapText="1"/>
    </xf>
    <xf numFmtId="0" fontId="17" fillId="9" borderId="39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/>
    </xf>
    <xf numFmtId="0" fontId="17" fillId="8" borderId="2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7" fillId="8" borderId="18" xfId="0" applyFont="1" applyFill="1" applyBorder="1" applyAlignment="1">
      <alignment horizontal="center"/>
    </xf>
    <xf numFmtId="0" fontId="13" fillId="7" borderId="42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left" vertical="center"/>
    </xf>
    <xf numFmtId="0" fontId="13" fillId="4" borderId="28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8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11" fillId="0" borderId="5" xfId="1" applyFont="1" applyBorder="1" applyAlignment="1" applyProtection="1">
      <alignment horizontal="left"/>
    </xf>
    <xf numFmtId="0" fontId="11" fillId="0" borderId="19" xfId="1" applyFont="1" applyBorder="1" applyAlignment="1" applyProtection="1">
      <alignment horizontal="center" vertical="top"/>
    </xf>
    <xf numFmtId="0" fontId="11" fillId="0" borderId="20" xfId="1" applyFont="1" applyBorder="1" applyAlignment="1" applyProtection="1">
      <alignment horizontal="center" vertical="top"/>
    </xf>
    <xf numFmtId="0" fontId="11" fillId="0" borderId="21" xfId="1" applyFont="1" applyBorder="1" applyAlignment="1" applyProtection="1">
      <alignment horizontal="center" vertical="top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6" fillId="0" borderId="0" xfId="1" applyFont="1" applyBorder="1" applyAlignment="1" applyProtection="1">
      <alignment horizontal="center"/>
    </xf>
    <xf numFmtId="0" fontId="11" fillId="0" borderId="5" xfId="1" applyFont="1" applyBorder="1" applyAlignment="1" applyProtection="1">
      <alignment horizontal="center"/>
    </xf>
    <xf numFmtId="164" fontId="11" fillId="0" borderId="3" xfId="1" applyNumberFormat="1" applyFont="1" applyBorder="1" applyAlignment="1" applyProtection="1">
      <alignment horizontal="center" vertical="center"/>
    </xf>
    <xf numFmtId="0" fontId="11" fillId="0" borderId="3" xfId="1" applyFont="1" applyBorder="1" applyAlignment="1" applyProtection="1">
      <alignment horizontal="center" vertical="center" wrapText="1"/>
    </xf>
    <xf numFmtId="0" fontId="14" fillId="0" borderId="6" xfId="1" applyFont="1" applyBorder="1" applyAlignment="1" applyProtection="1">
      <alignment vertical="top" wrapText="1"/>
    </xf>
    <xf numFmtId="0" fontId="11" fillId="0" borderId="3" xfId="1" applyFont="1" applyBorder="1" applyAlignment="1" applyProtection="1">
      <alignment horizontal="center" vertical="center"/>
    </xf>
    <xf numFmtId="15" fontId="5" fillId="0" borderId="19" xfId="0" applyNumberFormat="1" applyFont="1" applyBorder="1" applyAlignment="1">
      <alignment horizontal="center"/>
    </xf>
    <xf numFmtId="15" fontId="5" fillId="0" borderId="20" xfId="0" applyNumberFormat="1" applyFont="1" applyBorder="1" applyAlignment="1">
      <alignment horizontal="center"/>
    </xf>
    <xf numFmtId="15" fontId="5" fillId="0" borderId="21" xfId="0" applyNumberFormat="1" applyFont="1" applyBorder="1" applyAlignment="1">
      <alignment horizontal="center"/>
    </xf>
  </cellXfs>
  <cellStyles count="3">
    <cellStyle name="Normal" xfId="0" builtinId="0"/>
    <cellStyle name="Normal 10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3906982</xdr:colOff>
      <xdr:row>4</xdr:row>
      <xdr:rowOff>180110</xdr:rowOff>
    </xdr:from>
    <xdr:to>
      <xdr:col>3</xdr:col>
      <xdr:colOff>193963</xdr:colOff>
      <xdr:row>52</xdr:row>
      <xdr:rowOff>126519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3536D-EB36-AC3E-0EBF-858C5E1FD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818" y="983674"/>
          <a:ext cx="4904509" cy="5224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5</xdr:row>
      <xdr:rowOff>95251</xdr:rowOff>
    </xdr:from>
    <xdr:to>
      <xdr:col>4</xdr:col>
      <xdr:colOff>0</xdr:colOff>
      <xdr:row>43</xdr:row>
      <xdr:rowOff>132397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05335-F595-7287-BEC5-359F581A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143001"/>
          <a:ext cx="15087600" cy="8000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3744686</xdr:colOff>
      <xdr:row>4</xdr:row>
      <xdr:rowOff>185056</xdr:rowOff>
    </xdr:from>
    <xdr:to>
      <xdr:col>3</xdr:col>
      <xdr:colOff>2038351</xdr:colOff>
      <xdr:row>28</xdr:row>
      <xdr:rowOff>55043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8CE6A-61FA-C7D3-2703-AF769FB0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0429" y="1055913"/>
          <a:ext cx="6849836" cy="5095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</xdr:rowOff>
    </xdr:from>
    <xdr:to>
      <xdr:col>3</xdr:col>
      <xdr:colOff>1426028</xdr:colOff>
      <xdr:row>32</xdr:row>
      <xdr:rowOff>177537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CB011D-E74B-EF5C-D708-25D27A57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8572"/>
          <a:ext cx="8098971" cy="60558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12</xdr:col>
      <xdr:colOff>2221656</xdr:colOff>
      <xdr:row>43</xdr:row>
      <xdr:rowOff>47868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BC956-C2A9-442C-9C76-4DCDD974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9091"/>
          <a:ext cx="16699656" cy="79449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194" name="AutoShape 2" descr="Đã tải lên ảnh">
          <a:extLst>
            <a:ext uri="{FF2B5EF4-FFF2-40B4-BE49-F238E27FC236}">
              <a16:creationId xmlns:a16="http://schemas.microsoft.com/office/drawing/2014/main" id="{AF989E14-CA8A-9378-B178-74FD24B7E93C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195" name="AutoShape 3" descr="Đã tải lên ảnh">
          <a:extLst>
            <a:ext uri="{FF2B5EF4-FFF2-40B4-BE49-F238E27FC236}">
              <a16:creationId xmlns:a16="http://schemas.microsoft.com/office/drawing/2014/main" id="{2B5476CE-29BB-4089-036C-1E4864C2D780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196" name="AutoShape 4" descr="Đã tải lên ảnh">
          <a:extLst>
            <a:ext uri="{FF2B5EF4-FFF2-40B4-BE49-F238E27FC236}">
              <a16:creationId xmlns:a16="http://schemas.microsoft.com/office/drawing/2014/main" id="{BB252FD9-9701-FF92-D5DB-993757D85B68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198" name="AutoShape 6" descr="Đã tải lên ảnh">
          <a:extLst>
            <a:ext uri="{FF2B5EF4-FFF2-40B4-BE49-F238E27FC236}">
              <a16:creationId xmlns:a16="http://schemas.microsoft.com/office/drawing/2014/main" id="{7619BCF9-9DAA-ECCB-8BAF-402603B0C85D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199" name="AutoShape 7" descr="Đã tải lên ảnh">
          <a:extLst>
            <a:ext uri="{FF2B5EF4-FFF2-40B4-BE49-F238E27FC236}">
              <a16:creationId xmlns:a16="http://schemas.microsoft.com/office/drawing/2014/main" id="{4C4A042A-07DB-5AB1-DDC5-7F41ADF07E78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91440</xdr:rowOff>
    </xdr:to>
    <xdr:sp macro="" textlink="">
      <xdr:nvSpPr>
        <xdr:cNvPr id="8200" name="AutoShape 8" descr="Đã tải lên ảnh">
          <a:extLst>
            <a:ext uri="{FF2B5EF4-FFF2-40B4-BE49-F238E27FC236}">
              <a16:creationId xmlns:a16="http://schemas.microsoft.com/office/drawing/2014/main" id="{513E10FD-5C4B-6A12-3705-71DD35B00A8A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69272</xdr:rowOff>
    </xdr:from>
    <xdr:to>
      <xdr:col>3</xdr:col>
      <xdr:colOff>277091</xdr:colOff>
      <xdr:row>30</xdr:row>
      <xdr:rowOff>13902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7DC1D-7C54-4C7F-BA8A-69DF103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545"/>
          <a:ext cx="11291455" cy="53479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5" sqref="C15"/>
    </sheetView>
  </sheetViews>
  <sheetFormatPr defaultColWidth="9.109375" defaultRowHeight="16.8"/>
  <cols>
    <col min="1" max="1" width="42.5546875" style="8" customWidth="1"/>
    <col min="2" max="2" width="37.33203125" style="8" customWidth="1"/>
    <col min="3" max="3" width="39.109375" style="8" customWidth="1"/>
    <col min="4" max="4" width="43.109375" style="8" customWidth="1"/>
    <col min="5" max="16384" width="9.109375" style="8"/>
  </cols>
  <sheetData>
    <row r="1" spans="1:4" ht="16.5" customHeight="1">
      <c r="A1" s="142" t="s">
        <v>65</v>
      </c>
      <c r="B1" s="143"/>
      <c r="C1" s="143"/>
      <c r="D1" s="144"/>
    </row>
    <row r="2" spans="1:4" ht="19.5" customHeight="1">
      <c r="A2" s="145"/>
      <c r="B2" s="146"/>
      <c r="C2" s="146"/>
      <c r="D2" s="147"/>
    </row>
    <row r="3" spans="1:4" ht="33.75" customHeight="1">
      <c r="A3" s="75" t="s">
        <v>13</v>
      </c>
      <c r="B3" s="148" t="s">
        <v>58</v>
      </c>
      <c r="C3" s="149"/>
      <c r="D3" s="150"/>
    </row>
    <row r="4" spans="1:4">
      <c r="A4" s="82" t="s">
        <v>11</v>
      </c>
      <c r="B4" s="82" t="s">
        <v>10</v>
      </c>
      <c r="C4" s="82" t="s">
        <v>1</v>
      </c>
      <c r="D4" s="82" t="s">
        <v>12</v>
      </c>
    </row>
    <row r="5" spans="1:4">
      <c r="A5" s="83">
        <v>1</v>
      </c>
      <c r="B5" s="69" t="s">
        <v>66</v>
      </c>
      <c r="C5" s="69" t="s">
        <v>66</v>
      </c>
      <c r="D5" s="84"/>
    </row>
    <row r="6" spans="1:4" ht="23.25" customHeight="1">
      <c r="A6" s="74">
        <v>2</v>
      </c>
      <c r="B6" s="69" t="s">
        <v>67</v>
      </c>
      <c r="C6" s="69" t="s">
        <v>67</v>
      </c>
      <c r="D6" s="81"/>
    </row>
    <row r="7" spans="1:4" ht="22.5" customHeight="1">
      <c r="A7" s="74">
        <v>3</v>
      </c>
      <c r="B7" s="69" t="s">
        <v>68</v>
      </c>
      <c r="C7" s="69" t="s">
        <v>68</v>
      </c>
      <c r="D7" s="81"/>
    </row>
    <row r="8" spans="1:4" ht="21.75" customHeight="1">
      <c r="A8" s="74">
        <v>4</v>
      </c>
      <c r="B8" s="69" t="s">
        <v>69</v>
      </c>
      <c r="C8" s="69" t="s">
        <v>69</v>
      </c>
      <c r="D8" s="81"/>
    </row>
    <row r="9" spans="1:4">
      <c r="A9" s="74">
        <v>5</v>
      </c>
      <c r="B9" s="69" t="s">
        <v>70</v>
      </c>
      <c r="C9" s="69" t="s">
        <v>70</v>
      </c>
      <c r="D9" s="81"/>
    </row>
    <row r="10" spans="1:4">
      <c r="A10" s="74">
        <v>6</v>
      </c>
      <c r="B10" s="69" t="s">
        <v>71</v>
      </c>
      <c r="C10" s="69" t="s">
        <v>71</v>
      </c>
      <c r="D10" s="81"/>
    </row>
    <row r="11" spans="1:4">
      <c r="A11" s="74">
        <v>7</v>
      </c>
      <c r="B11" s="69" t="s">
        <v>72</v>
      </c>
      <c r="C11" s="69" t="s">
        <v>72</v>
      </c>
      <c r="D11" s="81"/>
    </row>
  </sheetData>
  <mergeCells count="2"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topLeftCell="F67" zoomScale="55" zoomScaleNormal="55" workbookViewId="0">
      <selection activeCell="K76" sqref="K76"/>
    </sheetView>
  </sheetViews>
  <sheetFormatPr defaultColWidth="9.109375" defaultRowHeight="14.4"/>
  <cols>
    <col min="1" max="1" width="23.88671875" customWidth="1"/>
    <col min="2" max="2" width="57.44140625" bestFit="1" customWidth="1"/>
    <col min="3" max="3" width="68.33203125" bestFit="1" customWidth="1"/>
    <col min="4" max="4" width="53.88671875" bestFit="1" customWidth="1"/>
    <col min="5" max="5" width="45.6640625" bestFit="1" customWidth="1"/>
    <col min="6" max="6" width="26.33203125" customWidth="1"/>
    <col min="7" max="7" width="18.109375" style="126" customWidth="1"/>
    <col min="8" max="9" width="18.6640625" customWidth="1"/>
    <col min="10" max="10" width="18.44140625" style="126" customWidth="1"/>
    <col min="11" max="11" width="16.5546875" bestFit="1" customWidth="1"/>
    <col min="12" max="12" width="10.5546875" bestFit="1" customWidth="1"/>
  </cols>
  <sheetData>
    <row r="1" spans="1:6" ht="15.75" customHeight="1">
      <c r="A1" s="78" t="s">
        <v>0</v>
      </c>
      <c r="B1" s="155" t="s">
        <v>58</v>
      </c>
      <c r="C1" s="155"/>
      <c r="D1" s="155"/>
      <c r="E1" s="155"/>
      <c r="F1" s="155"/>
    </row>
    <row r="2" spans="1:6" ht="15.75" customHeight="1">
      <c r="A2" s="78" t="s">
        <v>5</v>
      </c>
      <c r="B2" s="156" t="s">
        <v>186</v>
      </c>
      <c r="C2" s="156"/>
      <c r="D2" s="156"/>
      <c r="E2" s="156"/>
      <c r="F2" s="156"/>
    </row>
    <row r="3" spans="1:6" ht="16.8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 ht="16.8">
      <c r="A4" s="70" t="s">
        <v>3</v>
      </c>
      <c r="B4" s="69">
        <v>22</v>
      </c>
      <c r="C4" s="69">
        <v>0</v>
      </c>
      <c r="D4" s="69">
        <v>0</v>
      </c>
      <c r="E4" s="69">
        <v>0</v>
      </c>
      <c r="F4" s="69">
        <v>22</v>
      </c>
    </row>
    <row r="5" spans="1:6" ht="16.8">
      <c r="A5" s="70" t="s">
        <v>4</v>
      </c>
      <c r="B5" s="69">
        <v>22</v>
      </c>
      <c r="C5" s="69">
        <v>0</v>
      </c>
      <c r="D5" s="69">
        <v>0</v>
      </c>
      <c r="E5" s="71">
        <v>0</v>
      </c>
      <c r="F5" s="69">
        <v>22</v>
      </c>
    </row>
    <row r="6" spans="1:6">
      <c r="D6" t="s">
        <v>185</v>
      </c>
    </row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4" spans="13:13" ht="17.25" customHeight="1"/>
    <row r="40" spans="13:13" ht="16.8">
      <c r="M40" s="68"/>
    </row>
    <row r="41" spans="13:13" ht="31.95" customHeight="1"/>
    <row r="42" spans="13:13" ht="51" customHeight="1"/>
    <row r="54" spans="1:12" ht="17.399999999999999">
      <c r="A54" s="157" t="s">
        <v>6</v>
      </c>
      <c r="B54" s="157" t="s">
        <v>12</v>
      </c>
      <c r="C54" s="157" t="s">
        <v>40</v>
      </c>
      <c r="D54" s="158" t="s">
        <v>41</v>
      </c>
      <c r="E54" s="157" t="s">
        <v>42</v>
      </c>
      <c r="F54" s="154" t="s">
        <v>34</v>
      </c>
      <c r="G54" s="154"/>
      <c r="H54" s="154"/>
      <c r="I54" s="154"/>
      <c r="J54" s="154"/>
      <c r="K54" s="154"/>
      <c r="L54" s="154" t="s">
        <v>35</v>
      </c>
    </row>
    <row r="55" spans="1:12" ht="17.399999999999999">
      <c r="A55" s="157"/>
      <c r="B55" s="157"/>
      <c r="C55" s="157"/>
      <c r="D55" s="158"/>
      <c r="E55" s="157"/>
      <c r="F55" s="154" t="s">
        <v>15</v>
      </c>
      <c r="G55" s="154"/>
      <c r="H55" s="154"/>
      <c r="I55" s="154" t="s">
        <v>16</v>
      </c>
      <c r="J55" s="154"/>
      <c r="K55" s="154"/>
      <c r="L55" s="154"/>
    </row>
    <row r="56" spans="1:12" ht="16.8">
      <c r="A56" s="157"/>
      <c r="B56" s="157"/>
      <c r="C56" s="157"/>
      <c r="D56" s="158"/>
      <c r="E56" s="157"/>
      <c r="F56" s="76" t="s">
        <v>36</v>
      </c>
      <c r="G56" s="77" t="s">
        <v>37</v>
      </c>
      <c r="H56" s="76" t="s">
        <v>38</v>
      </c>
      <c r="I56" s="76" t="s">
        <v>36</v>
      </c>
      <c r="J56" s="115" t="s">
        <v>37</v>
      </c>
      <c r="K56" s="76" t="s">
        <v>38</v>
      </c>
      <c r="L56" s="154"/>
    </row>
    <row r="57" spans="1:12" ht="16.8">
      <c r="A57" s="151" t="s">
        <v>187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3"/>
    </row>
    <row r="58" spans="1:12" ht="33.6">
      <c r="A58" s="114" t="s">
        <v>281</v>
      </c>
      <c r="B58" s="106" t="s">
        <v>59</v>
      </c>
      <c r="C58" s="106" t="s">
        <v>282</v>
      </c>
      <c r="D58" s="106" t="s">
        <v>324</v>
      </c>
      <c r="E58" s="106" t="s">
        <v>324</v>
      </c>
      <c r="F58" s="72" t="s">
        <v>2</v>
      </c>
      <c r="G58" s="127">
        <v>45911</v>
      </c>
      <c r="H58" s="73" t="s">
        <v>56</v>
      </c>
      <c r="I58" s="73" t="s">
        <v>2</v>
      </c>
      <c r="J58" s="127">
        <v>45941</v>
      </c>
      <c r="K58" s="73" t="s">
        <v>60</v>
      </c>
      <c r="L58" s="73"/>
    </row>
    <row r="59" spans="1:12" ht="33.6">
      <c r="A59" s="114" t="s">
        <v>283</v>
      </c>
      <c r="B59" s="106" t="s">
        <v>284</v>
      </c>
      <c r="C59" s="106" t="s">
        <v>285</v>
      </c>
      <c r="D59" s="106" t="s">
        <v>325</v>
      </c>
      <c r="E59" s="106" t="s">
        <v>325</v>
      </c>
      <c r="F59" s="72" t="s">
        <v>2</v>
      </c>
      <c r="G59" s="125">
        <v>45911</v>
      </c>
      <c r="H59" s="73" t="s">
        <v>56</v>
      </c>
      <c r="I59" s="73" t="s">
        <v>2</v>
      </c>
      <c r="J59" s="125">
        <v>45941</v>
      </c>
      <c r="K59" s="73" t="s">
        <v>60</v>
      </c>
      <c r="L59" s="73"/>
    </row>
    <row r="60" spans="1:12" ht="16.8">
      <c r="A60" s="114" t="s">
        <v>286</v>
      </c>
      <c r="B60" s="106" t="s">
        <v>287</v>
      </c>
      <c r="C60" s="106" t="s">
        <v>288</v>
      </c>
      <c r="D60" s="106" t="s">
        <v>289</v>
      </c>
      <c r="E60" s="106" t="s">
        <v>289</v>
      </c>
      <c r="F60" s="72" t="s">
        <v>2</v>
      </c>
      <c r="G60" s="125">
        <v>45911</v>
      </c>
      <c r="H60" s="73" t="s">
        <v>56</v>
      </c>
      <c r="I60" s="73" t="s">
        <v>2</v>
      </c>
      <c r="J60" s="125">
        <v>45941</v>
      </c>
      <c r="K60" s="73" t="s">
        <v>60</v>
      </c>
      <c r="L60" s="73"/>
    </row>
    <row r="61" spans="1:12" ht="33.6">
      <c r="A61" s="114" t="s">
        <v>290</v>
      </c>
      <c r="B61" s="106" t="s">
        <v>291</v>
      </c>
      <c r="C61" s="106" t="s">
        <v>292</v>
      </c>
      <c r="D61" s="106" t="s">
        <v>293</v>
      </c>
      <c r="E61" s="106" t="s">
        <v>293</v>
      </c>
      <c r="F61" s="72" t="s">
        <v>2</v>
      </c>
      <c r="G61" s="125">
        <v>45911</v>
      </c>
      <c r="H61" s="73" t="s">
        <v>56</v>
      </c>
      <c r="I61" s="73" t="s">
        <v>2</v>
      </c>
      <c r="J61" s="125">
        <v>45941</v>
      </c>
      <c r="K61" s="73" t="s">
        <v>60</v>
      </c>
      <c r="L61" s="73"/>
    </row>
    <row r="62" spans="1:12" ht="33.6">
      <c r="A62" s="114" t="s">
        <v>294</v>
      </c>
      <c r="B62" s="106" t="s">
        <v>295</v>
      </c>
      <c r="C62" s="106" t="s">
        <v>296</v>
      </c>
      <c r="D62" s="106" t="s">
        <v>297</v>
      </c>
      <c r="E62" s="106" t="s">
        <v>297</v>
      </c>
      <c r="F62" s="72" t="s">
        <v>2</v>
      </c>
      <c r="G62" s="125">
        <v>45911</v>
      </c>
      <c r="H62" s="73" t="s">
        <v>56</v>
      </c>
      <c r="I62" s="73" t="s">
        <v>2</v>
      </c>
      <c r="J62" s="125">
        <v>45941</v>
      </c>
      <c r="K62" s="73" t="s">
        <v>60</v>
      </c>
      <c r="L62" s="73"/>
    </row>
    <row r="63" spans="1:12" ht="33.6">
      <c r="A63" s="114" t="s">
        <v>298</v>
      </c>
      <c r="B63" s="106" t="s">
        <v>299</v>
      </c>
      <c r="C63" s="106" t="s">
        <v>300</v>
      </c>
      <c r="D63" s="106" t="s">
        <v>301</v>
      </c>
      <c r="E63" s="106" t="s">
        <v>301</v>
      </c>
      <c r="F63" s="72" t="s">
        <v>2</v>
      </c>
      <c r="G63" s="125">
        <v>45911</v>
      </c>
      <c r="H63" s="73" t="s">
        <v>56</v>
      </c>
      <c r="I63" s="73" t="s">
        <v>2</v>
      </c>
      <c r="J63" s="125">
        <v>45941</v>
      </c>
      <c r="K63" s="73" t="s">
        <v>60</v>
      </c>
      <c r="L63" s="73"/>
    </row>
    <row r="64" spans="1:12" ht="16.8">
      <c r="A64" s="114" t="s">
        <v>302</v>
      </c>
      <c r="B64" s="106" t="s">
        <v>303</v>
      </c>
      <c r="C64" s="106" t="s">
        <v>304</v>
      </c>
      <c r="D64" s="106" t="s">
        <v>305</v>
      </c>
      <c r="E64" s="106" t="s">
        <v>305</v>
      </c>
      <c r="F64" s="72" t="s">
        <v>2</v>
      </c>
      <c r="G64" s="125">
        <v>45911</v>
      </c>
      <c r="H64" s="73" t="s">
        <v>56</v>
      </c>
      <c r="I64" s="73" t="s">
        <v>2</v>
      </c>
      <c r="J64" s="125">
        <v>45941</v>
      </c>
      <c r="K64" s="73" t="s">
        <v>60</v>
      </c>
      <c r="L64" s="73"/>
    </row>
    <row r="65" spans="1:12" ht="33.6">
      <c r="A65" s="114" t="s">
        <v>306</v>
      </c>
      <c r="B65" s="106" t="s">
        <v>307</v>
      </c>
      <c r="C65" s="106" t="s">
        <v>308</v>
      </c>
      <c r="D65" s="106" t="s">
        <v>326</v>
      </c>
      <c r="E65" s="106" t="s">
        <v>326</v>
      </c>
      <c r="F65" s="72" t="s">
        <v>2</v>
      </c>
      <c r="G65" s="125">
        <v>45911</v>
      </c>
      <c r="H65" s="73" t="s">
        <v>56</v>
      </c>
      <c r="I65" s="73" t="s">
        <v>2</v>
      </c>
      <c r="J65" s="125">
        <v>45941</v>
      </c>
      <c r="K65" s="73" t="s">
        <v>60</v>
      </c>
      <c r="L65" s="73"/>
    </row>
    <row r="66" spans="1:12" ht="33.6">
      <c r="A66" s="114" t="s">
        <v>309</v>
      </c>
      <c r="B66" s="106" t="s">
        <v>310</v>
      </c>
      <c r="C66" s="106" t="s">
        <v>311</v>
      </c>
      <c r="D66" s="106" t="s">
        <v>312</v>
      </c>
      <c r="E66" s="106" t="s">
        <v>312</v>
      </c>
      <c r="F66" s="72" t="s">
        <v>2</v>
      </c>
      <c r="G66" s="125">
        <v>45911</v>
      </c>
      <c r="H66" s="73" t="s">
        <v>56</v>
      </c>
      <c r="I66" s="73" t="s">
        <v>2</v>
      </c>
      <c r="J66" s="125">
        <v>45941</v>
      </c>
      <c r="K66" s="73" t="s">
        <v>60</v>
      </c>
      <c r="L66" s="73"/>
    </row>
    <row r="67" spans="1:12" ht="33.6">
      <c r="A67" s="114" t="s">
        <v>313</v>
      </c>
      <c r="B67" s="106" t="s">
        <v>314</v>
      </c>
      <c r="C67" s="106" t="s">
        <v>315</v>
      </c>
      <c r="D67" s="106" t="s">
        <v>316</v>
      </c>
      <c r="E67" s="106" t="s">
        <v>316</v>
      </c>
      <c r="F67" s="72" t="s">
        <v>2</v>
      </c>
      <c r="G67" s="125">
        <v>45911</v>
      </c>
      <c r="H67" s="73" t="s">
        <v>56</v>
      </c>
      <c r="I67" s="73" t="s">
        <v>2</v>
      </c>
      <c r="J67" s="125">
        <v>45941</v>
      </c>
      <c r="K67" s="73" t="s">
        <v>60</v>
      </c>
      <c r="L67" s="73"/>
    </row>
    <row r="68" spans="1:12" ht="33.6">
      <c r="A68" s="114" t="s">
        <v>317</v>
      </c>
      <c r="B68" s="106" t="s">
        <v>318</v>
      </c>
      <c r="C68" s="106" t="s">
        <v>308</v>
      </c>
      <c r="D68" s="106" t="s">
        <v>319</v>
      </c>
      <c r="E68" s="106" t="s">
        <v>319</v>
      </c>
      <c r="F68" s="72" t="s">
        <v>2</v>
      </c>
      <c r="G68" s="125">
        <v>45911</v>
      </c>
      <c r="H68" s="73" t="s">
        <v>56</v>
      </c>
      <c r="I68" s="73" t="s">
        <v>2</v>
      </c>
      <c r="J68" s="125">
        <v>45941</v>
      </c>
      <c r="K68" s="73" t="s">
        <v>60</v>
      </c>
      <c r="L68" s="73"/>
    </row>
    <row r="69" spans="1:12" ht="33.6">
      <c r="A69" s="114" t="s">
        <v>320</v>
      </c>
      <c r="B69" s="106" t="s">
        <v>321</v>
      </c>
      <c r="C69" s="106" t="s">
        <v>322</v>
      </c>
      <c r="D69" s="106" t="s">
        <v>323</v>
      </c>
      <c r="E69" s="106" t="s">
        <v>323</v>
      </c>
      <c r="F69" s="72" t="s">
        <v>2</v>
      </c>
      <c r="G69" s="125">
        <v>45911</v>
      </c>
      <c r="H69" s="73" t="s">
        <v>56</v>
      </c>
      <c r="I69" s="73" t="s">
        <v>2</v>
      </c>
      <c r="J69" s="125">
        <v>45941</v>
      </c>
      <c r="K69" s="73" t="s">
        <v>60</v>
      </c>
      <c r="L69" s="73"/>
    </row>
    <row r="70" spans="1:12" ht="16.8">
      <c r="A70" s="151" t="s">
        <v>188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3"/>
    </row>
    <row r="71" spans="1:12" ht="33.6">
      <c r="A71" s="114" t="s">
        <v>327</v>
      </c>
      <c r="B71" s="106" t="s">
        <v>328</v>
      </c>
      <c r="C71" s="106" t="s">
        <v>329</v>
      </c>
      <c r="D71" s="106" t="s">
        <v>330</v>
      </c>
      <c r="E71" s="106" t="s">
        <v>330</v>
      </c>
      <c r="F71" s="72" t="s">
        <v>2</v>
      </c>
      <c r="G71" s="125">
        <v>45911</v>
      </c>
      <c r="H71" s="73" t="s">
        <v>56</v>
      </c>
      <c r="I71" s="73" t="s">
        <v>2</v>
      </c>
      <c r="J71" s="125">
        <v>45941</v>
      </c>
      <c r="K71" s="73" t="s">
        <v>60</v>
      </c>
      <c r="L71" s="69"/>
    </row>
    <row r="72" spans="1:12" ht="33.6">
      <c r="A72" s="114" t="s">
        <v>331</v>
      </c>
      <c r="B72" s="106" t="s">
        <v>332</v>
      </c>
      <c r="C72" s="106" t="s">
        <v>329</v>
      </c>
      <c r="D72" s="106" t="s">
        <v>333</v>
      </c>
      <c r="E72" s="106" t="s">
        <v>333</v>
      </c>
      <c r="F72" s="72" t="s">
        <v>2</v>
      </c>
      <c r="G72" s="125">
        <v>45911</v>
      </c>
      <c r="H72" s="73" t="s">
        <v>56</v>
      </c>
      <c r="I72" s="73" t="s">
        <v>2</v>
      </c>
      <c r="J72" s="125">
        <v>45941</v>
      </c>
      <c r="K72" s="73" t="s">
        <v>60</v>
      </c>
      <c r="L72" s="69"/>
    </row>
    <row r="73" spans="1:12" ht="33.6">
      <c r="A73" s="114" t="s">
        <v>334</v>
      </c>
      <c r="B73" s="106" t="s">
        <v>335</v>
      </c>
      <c r="C73" s="106" t="s">
        <v>329</v>
      </c>
      <c r="D73" s="106" t="s">
        <v>336</v>
      </c>
      <c r="E73" s="106" t="s">
        <v>336</v>
      </c>
      <c r="F73" s="72" t="s">
        <v>2</v>
      </c>
      <c r="G73" s="125">
        <v>45911</v>
      </c>
      <c r="H73" s="73" t="s">
        <v>56</v>
      </c>
      <c r="I73" s="73" t="s">
        <v>2</v>
      </c>
      <c r="J73" s="125">
        <v>45941</v>
      </c>
      <c r="K73" s="73" t="s">
        <v>60</v>
      </c>
      <c r="L73" s="69"/>
    </row>
    <row r="74" spans="1:12" ht="50.4">
      <c r="A74" s="114" t="s">
        <v>337</v>
      </c>
      <c r="B74" s="106" t="s">
        <v>338</v>
      </c>
      <c r="C74" s="106" t="s">
        <v>329</v>
      </c>
      <c r="D74" s="106" t="s">
        <v>339</v>
      </c>
      <c r="E74" s="106" t="s">
        <v>339</v>
      </c>
      <c r="F74" s="72" t="s">
        <v>2</v>
      </c>
      <c r="G74" s="125">
        <v>45911</v>
      </c>
      <c r="H74" s="73" t="s">
        <v>56</v>
      </c>
      <c r="I74" s="73" t="s">
        <v>2</v>
      </c>
      <c r="J74" s="125">
        <v>45941</v>
      </c>
      <c r="K74" s="73" t="s">
        <v>60</v>
      </c>
      <c r="L74" s="69"/>
    </row>
    <row r="75" spans="1:12" ht="16.8">
      <c r="A75" s="114" t="s">
        <v>340</v>
      </c>
      <c r="B75" s="106" t="s">
        <v>341</v>
      </c>
      <c r="C75" s="106" t="s">
        <v>342</v>
      </c>
      <c r="D75" s="106" t="s">
        <v>343</v>
      </c>
      <c r="E75" s="106" t="s">
        <v>343</v>
      </c>
      <c r="F75" s="72" t="s">
        <v>2</v>
      </c>
      <c r="G75" s="125">
        <v>45911</v>
      </c>
      <c r="H75" s="73" t="s">
        <v>56</v>
      </c>
      <c r="I75" s="73" t="s">
        <v>2</v>
      </c>
      <c r="J75" s="125">
        <v>45941</v>
      </c>
      <c r="K75" s="73" t="s">
        <v>60</v>
      </c>
      <c r="L75" s="69"/>
    </row>
    <row r="76" spans="1:12" ht="50.4">
      <c r="A76" s="114" t="s">
        <v>344</v>
      </c>
      <c r="B76" s="106" t="s">
        <v>345</v>
      </c>
      <c r="C76" s="106" t="s">
        <v>346</v>
      </c>
      <c r="D76" s="106" t="s">
        <v>347</v>
      </c>
      <c r="E76" s="106" t="s">
        <v>347</v>
      </c>
      <c r="F76" s="72" t="s">
        <v>2</v>
      </c>
      <c r="G76" s="125">
        <v>45911</v>
      </c>
      <c r="H76" s="73" t="s">
        <v>56</v>
      </c>
      <c r="I76" s="73" t="s">
        <v>2</v>
      </c>
      <c r="J76" s="125">
        <v>45941</v>
      </c>
      <c r="K76" s="73" t="s">
        <v>60</v>
      </c>
      <c r="L76" s="69"/>
    </row>
    <row r="77" spans="1:12" ht="33.6">
      <c r="A77" s="114" t="s">
        <v>348</v>
      </c>
      <c r="B77" s="106" t="s">
        <v>349</v>
      </c>
      <c r="C77" s="106" t="s">
        <v>350</v>
      </c>
      <c r="D77" s="106" t="s">
        <v>351</v>
      </c>
      <c r="E77" s="106" t="s">
        <v>351</v>
      </c>
      <c r="F77" s="72" t="s">
        <v>2</v>
      </c>
      <c r="G77" s="125">
        <v>45911</v>
      </c>
      <c r="H77" s="73" t="s">
        <v>56</v>
      </c>
      <c r="I77" s="73" t="s">
        <v>2</v>
      </c>
      <c r="J77" s="125">
        <v>45941</v>
      </c>
      <c r="K77" s="73" t="s">
        <v>60</v>
      </c>
      <c r="L77" s="69"/>
    </row>
    <row r="78" spans="1:12" ht="33.6">
      <c r="A78" s="114" t="s">
        <v>352</v>
      </c>
      <c r="B78" s="106" t="s">
        <v>353</v>
      </c>
      <c r="C78" s="106" t="s">
        <v>354</v>
      </c>
      <c r="D78" s="106" t="s">
        <v>355</v>
      </c>
      <c r="E78" s="106" t="s">
        <v>355</v>
      </c>
      <c r="F78" s="72" t="s">
        <v>2</v>
      </c>
      <c r="G78" s="125">
        <v>45911</v>
      </c>
      <c r="H78" s="73" t="s">
        <v>56</v>
      </c>
      <c r="I78" s="73" t="s">
        <v>2</v>
      </c>
      <c r="J78" s="125">
        <v>45941</v>
      </c>
      <c r="K78" s="73" t="s">
        <v>60</v>
      </c>
      <c r="L78" s="69"/>
    </row>
    <row r="79" spans="1:12" ht="33.6">
      <c r="A79" s="114" t="s">
        <v>356</v>
      </c>
      <c r="B79" s="106" t="s">
        <v>357</v>
      </c>
      <c r="C79" s="106" t="s">
        <v>358</v>
      </c>
      <c r="D79" s="106" t="s">
        <v>359</v>
      </c>
      <c r="E79" s="106" t="s">
        <v>359</v>
      </c>
      <c r="F79" s="72" t="s">
        <v>2</v>
      </c>
      <c r="G79" s="125">
        <v>45911</v>
      </c>
      <c r="H79" s="73" t="s">
        <v>56</v>
      </c>
      <c r="I79" s="73" t="s">
        <v>2</v>
      </c>
      <c r="J79" s="125">
        <v>45941</v>
      </c>
      <c r="K79" s="73" t="s">
        <v>60</v>
      </c>
      <c r="L79" s="69"/>
    </row>
    <row r="80" spans="1:12" ht="50.4">
      <c r="A80" s="114" t="s">
        <v>360</v>
      </c>
      <c r="B80" s="106" t="s">
        <v>361</v>
      </c>
      <c r="C80" s="106" t="s">
        <v>362</v>
      </c>
      <c r="D80" s="106" t="s">
        <v>363</v>
      </c>
      <c r="E80" s="106" t="s">
        <v>363</v>
      </c>
      <c r="F80" s="72" t="s">
        <v>2</v>
      </c>
      <c r="G80" s="125">
        <v>45911</v>
      </c>
      <c r="H80" s="73" t="s">
        <v>56</v>
      </c>
      <c r="I80" s="73" t="s">
        <v>2</v>
      </c>
      <c r="J80" s="125">
        <v>45941</v>
      </c>
      <c r="K80" s="73" t="s">
        <v>60</v>
      </c>
      <c r="L80" s="69"/>
    </row>
  </sheetData>
  <mergeCells count="13">
    <mergeCell ref="B1:F1"/>
    <mergeCell ref="B2:F2"/>
    <mergeCell ref="A54:A56"/>
    <mergeCell ref="B54:B56"/>
    <mergeCell ref="C54:C56"/>
    <mergeCell ref="D54:D56"/>
    <mergeCell ref="E54:E56"/>
    <mergeCell ref="A70:L70"/>
    <mergeCell ref="L54:L56"/>
    <mergeCell ref="F55:H55"/>
    <mergeCell ref="F54:K54"/>
    <mergeCell ref="I55:K55"/>
    <mergeCell ref="A57:L57"/>
  </mergeCells>
  <dataValidations count="1">
    <dataValidation type="list" operator="equal" allowBlank="1" showErrorMessage="1" promptTitle="dfdf" sqref="F58:F69 F71:F80" xr:uid="{00000000-0002-0000-01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6"/>
  <sheetViews>
    <sheetView topLeftCell="E56" zoomScale="55" zoomScaleNormal="55" workbookViewId="0">
      <selection activeCell="G70" sqref="G70"/>
    </sheetView>
  </sheetViews>
  <sheetFormatPr defaultColWidth="8.88671875" defaultRowHeight="16.8"/>
  <cols>
    <col min="1" max="1" width="35.664062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45.33203125" style="8" bestFit="1" customWidth="1"/>
    <col min="6" max="6" width="20" style="8" bestFit="1" customWidth="1"/>
    <col min="7" max="7" width="15.88671875" style="119" bestFit="1" customWidth="1"/>
    <col min="8" max="8" width="17" style="8" bestFit="1" customWidth="1"/>
    <col min="9" max="9" width="12.109375" style="8" bestFit="1" customWidth="1"/>
    <col min="10" max="10" width="15.88671875" style="8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>
      <c r="A1" s="78" t="s">
        <v>0</v>
      </c>
      <c r="B1" s="155" t="s">
        <v>58</v>
      </c>
      <c r="C1" s="155"/>
      <c r="D1" s="155"/>
      <c r="E1" s="155"/>
      <c r="F1" s="155"/>
    </row>
    <row r="2" spans="1:6">
      <c r="A2" s="78" t="s">
        <v>5</v>
      </c>
      <c r="B2" s="156" t="s">
        <v>67</v>
      </c>
      <c r="C2" s="156"/>
      <c r="D2" s="156"/>
      <c r="E2" s="156"/>
      <c r="F2" s="156"/>
    </row>
    <row r="3" spans="1:6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>
      <c r="A4" s="70" t="s">
        <v>3</v>
      </c>
      <c r="B4" s="69">
        <v>27</v>
      </c>
      <c r="C4" s="69">
        <v>3</v>
      </c>
      <c r="D4" s="69">
        <v>0</v>
      </c>
      <c r="E4" s="69">
        <v>0</v>
      </c>
      <c r="F4" s="69">
        <v>27</v>
      </c>
    </row>
    <row r="5" spans="1:6">
      <c r="A5" s="70" t="s">
        <v>4</v>
      </c>
      <c r="B5" s="69">
        <v>27</v>
      </c>
      <c r="C5" s="69">
        <v>3</v>
      </c>
      <c r="D5" s="69">
        <v>0</v>
      </c>
      <c r="E5" s="71">
        <v>0</v>
      </c>
      <c r="F5" s="69">
        <v>27</v>
      </c>
    </row>
    <row r="45" spans="1:12">
      <c r="A45" s="162" t="s">
        <v>6</v>
      </c>
      <c r="B45" s="162" t="s">
        <v>12</v>
      </c>
      <c r="C45" s="162" t="s">
        <v>40</v>
      </c>
      <c r="D45" s="165" t="s">
        <v>41</v>
      </c>
      <c r="E45" s="85" t="s">
        <v>42</v>
      </c>
      <c r="F45" s="168" t="s">
        <v>34</v>
      </c>
      <c r="G45" s="169"/>
      <c r="H45" s="169"/>
      <c r="I45" s="169"/>
      <c r="J45" s="169"/>
      <c r="K45" s="170"/>
      <c r="L45" s="159" t="s">
        <v>35</v>
      </c>
    </row>
    <row r="46" spans="1:12">
      <c r="A46" s="163"/>
      <c r="B46" s="163"/>
      <c r="C46" s="163"/>
      <c r="D46" s="166"/>
      <c r="E46" s="85"/>
      <c r="F46" s="168" t="s">
        <v>15</v>
      </c>
      <c r="G46" s="169"/>
      <c r="H46" s="170"/>
      <c r="I46" s="168" t="s">
        <v>16</v>
      </c>
      <c r="J46" s="169"/>
      <c r="K46" s="170"/>
      <c r="L46" s="160"/>
    </row>
    <row r="47" spans="1:12">
      <c r="A47" s="164"/>
      <c r="B47" s="164"/>
      <c r="C47" s="164"/>
      <c r="D47" s="167"/>
      <c r="E47" s="85"/>
      <c r="F47" s="85" t="s">
        <v>36</v>
      </c>
      <c r="G47" s="120" t="s">
        <v>37</v>
      </c>
      <c r="H47" s="85" t="s">
        <v>38</v>
      </c>
      <c r="I47" s="85" t="s">
        <v>36</v>
      </c>
      <c r="J47" s="85" t="s">
        <v>37</v>
      </c>
      <c r="K47" s="85" t="s">
        <v>38</v>
      </c>
      <c r="L47" s="161"/>
    </row>
    <row r="48" spans="1:12">
      <c r="A48" s="86" t="s">
        <v>73</v>
      </c>
      <c r="B48" s="87"/>
      <c r="C48" s="87"/>
      <c r="D48" s="87"/>
      <c r="E48" s="87"/>
      <c r="F48" s="87"/>
      <c r="G48" s="121"/>
      <c r="H48" s="87"/>
      <c r="I48" s="87"/>
      <c r="J48" s="87"/>
      <c r="K48" s="87"/>
      <c r="L48" s="88"/>
    </row>
    <row r="49" spans="1:12" ht="33.6">
      <c r="A49" s="106" t="s">
        <v>77</v>
      </c>
      <c r="B49" s="106" t="s">
        <v>59</v>
      </c>
      <c r="C49" s="106" t="s">
        <v>119</v>
      </c>
      <c r="D49" s="106" t="s">
        <v>120</v>
      </c>
      <c r="E49" s="106" t="s">
        <v>120</v>
      </c>
      <c r="F49" s="72" t="s">
        <v>2</v>
      </c>
      <c r="G49" s="122">
        <v>45972</v>
      </c>
      <c r="H49" s="72" t="s">
        <v>56</v>
      </c>
      <c r="I49" s="72" t="s">
        <v>2</v>
      </c>
      <c r="J49" s="122">
        <v>46002</v>
      </c>
      <c r="K49" s="72" t="s">
        <v>60</v>
      </c>
      <c r="L49" s="69"/>
    </row>
    <row r="50" spans="1:12" ht="50.4">
      <c r="A50" s="106" t="s">
        <v>78</v>
      </c>
      <c r="B50" s="106" t="s">
        <v>79</v>
      </c>
      <c r="C50" s="106" t="s">
        <v>80</v>
      </c>
      <c r="D50" s="106" t="s">
        <v>81</v>
      </c>
      <c r="E50" s="106" t="s">
        <v>81</v>
      </c>
      <c r="F50" s="72" t="s">
        <v>2</v>
      </c>
      <c r="G50" s="123">
        <v>45972</v>
      </c>
      <c r="H50" s="72" t="s">
        <v>56</v>
      </c>
      <c r="I50" s="72" t="s">
        <v>2</v>
      </c>
      <c r="J50" s="123">
        <v>46002</v>
      </c>
      <c r="K50" s="72" t="s">
        <v>60</v>
      </c>
      <c r="L50" s="69"/>
    </row>
    <row r="51" spans="1:12" ht="33.6">
      <c r="A51" s="106" t="s">
        <v>82</v>
      </c>
      <c r="B51" s="106" t="s">
        <v>83</v>
      </c>
      <c r="C51" s="106" t="s">
        <v>84</v>
      </c>
      <c r="D51" s="106" t="s">
        <v>85</v>
      </c>
      <c r="E51" s="106" t="s">
        <v>85</v>
      </c>
      <c r="F51" s="72" t="s">
        <v>2</v>
      </c>
      <c r="G51" s="123">
        <v>45972</v>
      </c>
      <c r="H51" s="72" t="s">
        <v>56</v>
      </c>
      <c r="I51" s="72" t="s">
        <v>2</v>
      </c>
      <c r="J51" s="123">
        <v>46002</v>
      </c>
      <c r="K51" s="72" t="s">
        <v>60</v>
      </c>
      <c r="L51" s="69"/>
    </row>
    <row r="52" spans="1:12" ht="33.6">
      <c r="A52" s="106" t="s">
        <v>86</v>
      </c>
      <c r="B52" s="106" t="s">
        <v>87</v>
      </c>
      <c r="C52" s="106" t="s">
        <v>88</v>
      </c>
      <c r="D52" s="106" t="s">
        <v>89</v>
      </c>
      <c r="E52" s="106" t="s">
        <v>89</v>
      </c>
      <c r="F52" s="72" t="s">
        <v>2</v>
      </c>
      <c r="G52" s="123">
        <v>45972</v>
      </c>
      <c r="H52" s="72" t="s">
        <v>56</v>
      </c>
      <c r="I52" s="72" t="s">
        <v>2</v>
      </c>
      <c r="J52" s="123">
        <v>46002</v>
      </c>
      <c r="K52" s="72" t="s">
        <v>60</v>
      </c>
      <c r="L52" s="69"/>
    </row>
    <row r="53" spans="1:12" ht="33.6">
      <c r="A53" s="106" t="s">
        <v>90</v>
      </c>
      <c r="B53" s="106" t="s">
        <v>91</v>
      </c>
      <c r="C53" s="106" t="s">
        <v>92</v>
      </c>
      <c r="D53" s="106" t="s">
        <v>93</v>
      </c>
      <c r="E53" s="106" t="s">
        <v>93</v>
      </c>
      <c r="F53" s="72" t="s">
        <v>2</v>
      </c>
      <c r="G53" s="123">
        <v>45972</v>
      </c>
      <c r="H53" s="72" t="s">
        <v>56</v>
      </c>
      <c r="I53" s="72" t="s">
        <v>2</v>
      </c>
      <c r="J53" s="123">
        <v>46002</v>
      </c>
      <c r="K53" s="72" t="s">
        <v>60</v>
      </c>
      <c r="L53" s="69"/>
    </row>
    <row r="54" spans="1:12" ht="33.6">
      <c r="A54" s="106" t="s">
        <v>94</v>
      </c>
      <c r="B54" s="106" t="s">
        <v>95</v>
      </c>
      <c r="C54" s="106" t="s">
        <v>96</v>
      </c>
      <c r="D54" s="106" t="s">
        <v>97</v>
      </c>
      <c r="E54" s="106" t="s">
        <v>97</v>
      </c>
      <c r="F54" s="72" t="s">
        <v>2</v>
      </c>
      <c r="G54" s="123">
        <v>45972</v>
      </c>
      <c r="H54" s="72" t="s">
        <v>56</v>
      </c>
      <c r="I54" s="72" t="s">
        <v>2</v>
      </c>
      <c r="J54" s="123">
        <v>46002</v>
      </c>
      <c r="K54" s="72" t="s">
        <v>60</v>
      </c>
      <c r="L54" s="69"/>
    </row>
    <row r="55" spans="1:12" ht="33.6">
      <c r="A55" s="106" t="s">
        <v>98</v>
      </c>
      <c r="B55" s="106" t="s">
        <v>99</v>
      </c>
      <c r="C55" s="106" t="s">
        <v>100</v>
      </c>
      <c r="D55" s="106" t="s">
        <v>121</v>
      </c>
      <c r="E55" s="106" t="s">
        <v>121</v>
      </c>
      <c r="F55" s="72" t="s">
        <v>2</v>
      </c>
      <c r="G55" s="123">
        <v>45972</v>
      </c>
      <c r="H55" s="72" t="s">
        <v>56</v>
      </c>
      <c r="I55" s="72" t="s">
        <v>2</v>
      </c>
      <c r="J55" s="123">
        <v>46002</v>
      </c>
      <c r="K55" s="72" t="s">
        <v>60</v>
      </c>
      <c r="L55" s="69"/>
    </row>
    <row r="56" spans="1:12" ht="33.6">
      <c r="A56" s="106" t="s">
        <v>101</v>
      </c>
      <c r="B56" s="106" t="s">
        <v>102</v>
      </c>
      <c r="C56" s="106" t="s">
        <v>103</v>
      </c>
      <c r="D56" s="106" t="s">
        <v>122</v>
      </c>
      <c r="E56" s="106" t="s">
        <v>122</v>
      </c>
      <c r="F56" s="72" t="s">
        <v>2</v>
      </c>
      <c r="G56" s="123">
        <v>45972</v>
      </c>
      <c r="H56" s="72" t="s">
        <v>56</v>
      </c>
      <c r="I56" s="72" t="s">
        <v>2</v>
      </c>
      <c r="J56" s="123">
        <v>46002</v>
      </c>
      <c r="K56" s="72" t="s">
        <v>60</v>
      </c>
      <c r="L56" s="69"/>
    </row>
    <row r="57" spans="1:12" ht="33.6">
      <c r="A57" s="106" t="s">
        <v>104</v>
      </c>
      <c r="B57" s="106" t="s">
        <v>105</v>
      </c>
      <c r="C57" s="106" t="s">
        <v>106</v>
      </c>
      <c r="D57" s="106" t="s">
        <v>107</v>
      </c>
      <c r="E57" s="106" t="s">
        <v>107</v>
      </c>
      <c r="F57" s="72" t="s">
        <v>2</v>
      </c>
      <c r="G57" s="123">
        <v>45972</v>
      </c>
      <c r="H57" s="72" t="s">
        <v>56</v>
      </c>
      <c r="I57" s="72" t="s">
        <v>2</v>
      </c>
      <c r="J57" s="123">
        <v>46002</v>
      </c>
      <c r="K57" s="72" t="s">
        <v>60</v>
      </c>
      <c r="L57" s="69"/>
    </row>
    <row r="58" spans="1:12" ht="33.6">
      <c r="A58" s="106" t="s">
        <v>108</v>
      </c>
      <c r="B58" s="106" t="s">
        <v>109</v>
      </c>
      <c r="C58" s="106" t="s">
        <v>110</v>
      </c>
      <c r="D58" s="106" t="s">
        <v>111</v>
      </c>
      <c r="E58" s="106" t="s">
        <v>111</v>
      </c>
      <c r="F58" s="72" t="s">
        <v>2</v>
      </c>
      <c r="G58" s="123">
        <v>45972</v>
      </c>
      <c r="H58" s="72" t="s">
        <v>56</v>
      </c>
      <c r="I58" s="72" t="s">
        <v>2</v>
      </c>
      <c r="J58" s="123">
        <v>46002</v>
      </c>
      <c r="K58" s="72" t="s">
        <v>60</v>
      </c>
      <c r="L58" s="69"/>
    </row>
    <row r="59" spans="1:12" ht="33.6">
      <c r="A59" s="106" t="s">
        <v>112</v>
      </c>
      <c r="B59" s="106" t="s">
        <v>113</v>
      </c>
      <c r="C59" s="106" t="s">
        <v>114</v>
      </c>
      <c r="D59" s="106" t="s">
        <v>123</v>
      </c>
      <c r="E59" s="106" t="s">
        <v>123</v>
      </c>
      <c r="F59" s="72" t="s">
        <v>2</v>
      </c>
      <c r="G59" s="123">
        <v>45972</v>
      </c>
      <c r="H59" s="72" t="s">
        <v>56</v>
      </c>
      <c r="I59" s="72" t="s">
        <v>2</v>
      </c>
      <c r="J59" s="123">
        <v>46002</v>
      </c>
      <c r="K59" s="72" t="s">
        <v>60</v>
      </c>
      <c r="L59" s="69"/>
    </row>
    <row r="60" spans="1:12" ht="33.6">
      <c r="A60" s="106" t="s">
        <v>115</v>
      </c>
      <c r="B60" s="106" t="s">
        <v>116</v>
      </c>
      <c r="C60" s="106" t="s">
        <v>117</v>
      </c>
      <c r="D60" s="106" t="s">
        <v>118</v>
      </c>
      <c r="E60" s="106" t="s">
        <v>118</v>
      </c>
      <c r="F60" s="72" t="s">
        <v>2</v>
      </c>
      <c r="G60" s="123">
        <v>45972</v>
      </c>
      <c r="H60" s="72" t="s">
        <v>56</v>
      </c>
      <c r="I60" s="72" t="s">
        <v>2</v>
      </c>
      <c r="J60" s="123">
        <v>46002</v>
      </c>
      <c r="K60" s="72" t="s">
        <v>60</v>
      </c>
      <c r="L60" s="69"/>
    </row>
    <row r="61" spans="1:12">
      <c r="A61" s="101" t="s">
        <v>74</v>
      </c>
      <c r="B61" s="102"/>
      <c r="C61" s="102"/>
      <c r="D61" s="102"/>
      <c r="E61" s="102"/>
      <c r="F61" s="102"/>
      <c r="G61" s="124"/>
      <c r="H61" s="102"/>
      <c r="I61" s="102"/>
      <c r="J61" s="102"/>
      <c r="K61" s="102"/>
      <c r="L61" s="103"/>
    </row>
    <row r="62" spans="1:12" ht="33.6">
      <c r="A62" s="106" t="s">
        <v>124</v>
      </c>
      <c r="B62" s="106" t="s">
        <v>125</v>
      </c>
      <c r="C62" s="106" t="s">
        <v>173</v>
      </c>
      <c r="D62" s="106" t="s">
        <v>174</v>
      </c>
      <c r="E62" s="106" t="s">
        <v>174</v>
      </c>
      <c r="F62" s="74" t="s">
        <v>2</v>
      </c>
      <c r="G62" s="123">
        <v>45972</v>
      </c>
      <c r="H62" s="72" t="s">
        <v>56</v>
      </c>
      <c r="I62" s="74" t="s">
        <v>2</v>
      </c>
      <c r="J62" s="123">
        <v>46002</v>
      </c>
      <c r="K62" s="72" t="s">
        <v>60</v>
      </c>
      <c r="L62" s="69"/>
    </row>
    <row r="63" spans="1:12" ht="33.6">
      <c r="A63" s="106" t="s">
        <v>126</v>
      </c>
      <c r="B63" s="106" t="s">
        <v>127</v>
      </c>
      <c r="C63" s="106" t="s">
        <v>175</v>
      </c>
      <c r="D63" s="106" t="s">
        <v>176</v>
      </c>
      <c r="E63" s="106" t="s">
        <v>176</v>
      </c>
      <c r="F63" s="74" t="s">
        <v>2</v>
      </c>
      <c r="G63" s="123">
        <v>45972</v>
      </c>
      <c r="H63" s="72" t="s">
        <v>56</v>
      </c>
      <c r="I63" s="74" t="s">
        <v>2</v>
      </c>
      <c r="J63" s="123">
        <v>46002</v>
      </c>
      <c r="K63" s="72" t="s">
        <v>60</v>
      </c>
      <c r="L63" s="69"/>
    </row>
    <row r="64" spans="1:12" ht="33.6">
      <c r="A64" s="106" t="s">
        <v>128</v>
      </c>
      <c r="B64" s="106" t="s">
        <v>129</v>
      </c>
      <c r="C64" s="106" t="s">
        <v>130</v>
      </c>
      <c r="D64" s="106" t="s">
        <v>131</v>
      </c>
      <c r="E64" s="106" t="s">
        <v>131</v>
      </c>
      <c r="F64" s="74" t="s">
        <v>2</v>
      </c>
      <c r="G64" s="123">
        <v>45972</v>
      </c>
      <c r="H64" s="72" t="s">
        <v>56</v>
      </c>
      <c r="I64" s="74" t="s">
        <v>2</v>
      </c>
      <c r="J64" s="123">
        <v>46002</v>
      </c>
      <c r="K64" s="72" t="s">
        <v>60</v>
      </c>
      <c r="L64" s="69"/>
    </row>
    <row r="65" spans="1:12" ht="33.6">
      <c r="A65" s="106" t="s">
        <v>132</v>
      </c>
      <c r="B65" s="106" t="s">
        <v>133</v>
      </c>
      <c r="C65" s="106" t="s">
        <v>177</v>
      </c>
      <c r="D65" s="106" t="s">
        <v>134</v>
      </c>
      <c r="E65" s="106" t="s">
        <v>134</v>
      </c>
      <c r="F65" s="74" t="s">
        <v>2</v>
      </c>
      <c r="G65" s="123">
        <v>45972</v>
      </c>
      <c r="H65" s="72" t="s">
        <v>56</v>
      </c>
      <c r="I65" s="74" t="s">
        <v>2</v>
      </c>
      <c r="J65" s="123">
        <v>46002</v>
      </c>
      <c r="K65" s="72" t="s">
        <v>60</v>
      </c>
      <c r="L65" s="69"/>
    </row>
    <row r="66" spans="1:12" ht="33.6">
      <c r="A66" s="106" t="s">
        <v>135</v>
      </c>
      <c r="B66" s="106" t="s">
        <v>136</v>
      </c>
      <c r="C66" s="106" t="s">
        <v>178</v>
      </c>
      <c r="D66" s="106" t="s">
        <v>137</v>
      </c>
      <c r="E66" s="106" t="s">
        <v>137</v>
      </c>
      <c r="F66" s="74" t="s">
        <v>2</v>
      </c>
      <c r="G66" s="123">
        <v>45972</v>
      </c>
      <c r="H66" s="72" t="s">
        <v>56</v>
      </c>
      <c r="I66" s="74" t="s">
        <v>2</v>
      </c>
      <c r="J66" s="123">
        <v>46002</v>
      </c>
      <c r="K66" s="72" t="s">
        <v>60</v>
      </c>
      <c r="L66" s="69"/>
    </row>
    <row r="67" spans="1:12" ht="33.6">
      <c r="A67" s="106" t="s">
        <v>138</v>
      </c>
      <c r="B67" s="106" t="s">
        <v>139</v>
      </c>
      <c r="C67" s="106" t="s">
        <v>179</v>
      </c>
      <c r="D67" s="106" t="s">
        <v>140</v>
      </c>
      <c r="E67" s="106" t="s">
        <v>183</v>
      </c>
      <c r="F67" s="74" t="s">
        <v>62</v>
      </c>
      <c r="G67" s="123">
        <v>45972</v>
      </c>
      <c r="H67" s="72" t="s">
        <v>56</v>
      </c>
      <c r="I67" s="74" t="s">
        <v>62</v>
      </c>
      <c r="J67" s="123">
        <v>46002</v>
      </c>
      <c r="K67" s="72" t="s">
        <v>60</v>
      </c>
      <c r="L67" s="69"/>
    </row>
    <row r="68" spans="1:12">
      <c r="A68" s="106" t="s">
        <v>141</v>
      </c>
      <c r="B68" s="106" t="s">
        <v>142</v>
      </c>
      <c r="C68" s="106" t="s">
        <v>143</v>
      </c>
      <c r="D68" s="106" t="s">
        <v>144</v>
      </c>
      <c r="E68" s="106" t="s">
        <v>183</v>
      </c>
      <c r="F68" s="74" t="s">
        <v>62</v>
      </c>
      <c r="G68" s="123">
        <v>45972</v>
      </c>
      <c r="H68" s="72" t="s">
        <v>56</v>
      </c>
      <c r="I68" s="74" t="s">
        <v>62</v>
      </c>
      <c r="J68" s="123">
        <v>46002</v>
      </c>
      <c r="K68" s="72" t="s">
        <v>60</v>
      </c>
      <c r="L68" s="69"/>
    </row>
    <row r="69" spans="1:12" ht="33.6">
      <c r="A69" s="106" t="s">
        <v>145</v>
      </c>
      <c r="B69" s="106" t="s">
        <v>146</v>
      </c>
      <c r="C69" s="106" t="s">
        <v>147</v>
      </c>
      <c r="D69" s="106" t="s">
        <v>148</v>
      </c>
      <c r="E69" s="106" t="s">
        <v>148</v>
      </c>
      <c r="F69" s="74" t="s">
        <v>62</v>
      </c>
      <c r="G69" s="123">
        <v>45972</v>
      </c>
      <c r="H69" s="72" t="s">
        <v>56</v>
      </c>
      <c r="I69" s="74" t="s">
        <v>62</v>
      </c>
      <c r="J69" s="123">
        <v>46002</v>
      </c>
      <c r="K69" s="72" t="s">
        <v>60</v>
      </c>
      <c r="L69" s="69"/>
    </row>
    <row r="70" spans="1:12" ht="33.6">
      <c r="A70" s="106" t="s">
        <v>149</v>
      </c>
      <c r="B70" s="106" t="s">
        <v>150</v>
      </c>
      <c r="C70" s="106" t="s">
        <v>151</v>
      </c>
      <c r="D70" s="106" t="s">
        <v>152</v>
      </c>
      <c r="E70" s="106" t="s">
        <v>152</v>
      </c>
      <c r="F70" s="74" t="s">
        <v>2</v>
      </c>
      <c r="G70" s="123">
        <v>45972</v>
      </c>
      <c r="H70" s="72" t="s">
        <v>56</v>
      </c>
      <c r="I70" s="74" t="s">
        <v>2</v>
      </c>
      <c r="J70" s="123">
        <v>46002</v>
      </c>
      <c r="K70" s="72" t="s">
        <v>60</v>
      </c>
      <c r="L70" s="69"/>
    </row>
    <row r="71" spans="1:12" ht="33.6">
      <c r="A71" s="106" t="s">
        <v>153</v>
      </c>
      <c r="B71" s="106" t="s">
        <v>154</v>
      </c>
      <c r="C71" s="106" t="s">
        <v>155</v>
      </c>
      <c r="D71" s="106" t="s">
        <v>156</v>
      </c>
      <c r="E71" s="106" t="s">
        <v>156</v>
      </c>
      <c r="F71" s="74" t="s">
        <v>2</v>
      </c>
      <c r="G71" s="123">
        <v>45972</v>
      </c>
      <c r="H71" s="72" t="s">
        <v>56</v>
      </c>
      <c r="I71" s="74" t="s">
        <v>2</v>
      </c>
      <c r="J71" s="123">
        <v>46002</v>
      </c>
      <c r="K71" s="72" t="s">
        <v>60</v>
      </c>
      <c r="L71" s="69"/>
    </row>
    <row r="72" spans="1:12" ht="33.6">
      <c r="A72" s="106" t="s">
        <v>157</v>
      </c>
      <c r="B72" s="106" t="s">
        <v>158</v>
      </c>
      <c r="C72" s="106" t="s">
        <v>180</v>
      </c>
      <c r="D72" s="106" t="s">
        <v>184</v>
      </c>
      <c r="E72" s="106" t="s">
        <v>184</v>
      </c>
      <c r="F72" s="74" t="s">
        <v>2</v>
      </c>
      <c r="G72" s="123">
        <v>45972</v>
      </c>
      <c r="H72" s="72" t="s">
        <v>56</v>
      </c>
      <c r="I72" s="74" t="s">
        <v>2</v>
      </c>
      <c r="J72" s="123">
        <v>46002</v>
      </c>
      <c r="K72" s="72" t="s">
        <v>60</v>
      </c>
      <c r="L72" s="69"/>
    </row>
    <row r="73" spans="1:12" ht="33.6">
      <c r="A73" s="106" t="s">
        <v>159</v>
      </c>
      <c r="B73" s="106" t="s">
        <v>160</v>
      </c>
      <c r="C73" s="106" t="s">
        <v>181</v>
      </c>
      <c r="D73" s="106" t="s">
        <v>182</v>
      </c>
      <c r="E73" s="106" t="s">
        <v>182</v>
      </c>
      <c r="F73" s="74" t="s">
        <v>2</v>
      </c>
      <c r="G73" s="123">
        <v>45972</v>
      </c>
      <c r="H73" s="72" t="s">
        <v>56</v>
      </c>
      <c r="I73" s="74" t="s">
        <v>2</v>
      </c>
      <c r="J73" s="123">
        <v>46002</v>
      </c>
      <c r="K73" s="72" t="s">
        <v>60</v>
      </c>
      <c r="L73" s="69"/>
    </row>
    <row r="74" spans="1:12" ht="33.6">
      <c r="A74" s="106" t="s">
        <v>161</v>
      </c>
      <c r="B74" s="106" t="s">
        <v>162</v>
      </c>
      <c r="C74" s="106" t="s">
        <v>163</v>
      </c>
      <c r="D74" s="106" t="s">
        <v>164</v>
      </c>
      <c r="E74" s="106" t="s">
        <v>164</v>
      </c>
      <c r="F74" s="74" t="s">
        <v>2</v>
      </c>
      <c r="G74" s="123">
        <v>45972</v>
      </c>
      <c r="H74" s="72" t="s">
        <v>56</v>
      </c>
      <c r="I74" s="74" t="s">
        <v>2</v>
      </c>
      <c r="J74" s="123">
        <v>46002</v>
      </c>
      <c r="K74" s="72" t="s">
        <v>60</v>
      </c>
      <c r="L74" s="69"/>
    </row>
    <row r="75" spans="1:12" ht="33.6">
      <c r="A75" s="106" t="s">
        <v>165</v>
      </c>
      <c r="B75" s="106" t="s">
        <v>166</v>
      </c>
      <c r="C75" s="106" t="s">
        <v>167</v>
      </c>
      <c r="D75" s="106" t="s">
        <v>168</v>
      </c>
      <c r="E75" s="106" t="s">
        <v>168</v>
      </c>
      <c r="F75" s="74" t="s">
        <v>2</v>
      </c>
      <c r="G75" s="123">
        <v>45972</v>
      </c>
      <c r="H75" s="72" t="s">
        <v>56</v>
      </c>
      <c r="I75" s="74" t="s">
        <v>2</v>
      </c>
      <c r="J75" s="123">
        <v>46002</v>
      </c>
      <c r="K75" s="72" t="s">
        <v>60</v>
      </c>
      <c r="L75" s="69"/>
    </row>
    <row r="76" spans="1:12" ht="33.6">
      <c r="A76" s="106" t="s">
        <v>169</v>
      </c>
      <c r="B76" s="106" t="s">
        <v>170</v>
      </c>
      <c r="C76" s="106" t="s">
        <v>171</v>
      </c>
      <c r="D76" s="106" t="s">
        <v>172</v>
      </c>
      <c r="E76" s="106" t="s">
        <v>172</v>
      </c>
      <c r="F76" s="74" t="s">
        <v>2</v>
      </c>
      <c r="G76" s="123">
        <v>45972</v>
      </c>
      <c r="H76" s="72" t="s">
        <v>56</v>
      </c>
      <c r="I76" s="74" t="s">
        <v>2</v>
      </c>
      <c r="J76" s="123">
        <v>46002</v>
      </c>
      <c r="K76" s="72" t="s">
        <v>60</v>
      </c>
      <c r="L76" s="69"/>
    </row>
  </sheetData>
  <mergeCells count="10">
    <mergeCell ref="L45:L47"/>
    <mergeCell ref="B1:F1"/>
    <mergeCell ref="B2:F2"/>
    <mergeCell ref="A45:A47"/>
    <mergeCell ref="B45:B47"/>
    <mergeCell ref="C45:C47"/>
    <mergeCell ref="D45:D47"/>
    <mergeCell ref="F45:K45"/>
    <mergeCell ref="F46:H46"/>
    <mergeCell ref="I46:K46"/>
  </mergeCells>
  <dataValidations count="1">
    <dataValidation type="list" operator="equal" allowBlank="1" showErrorMessage="1" promptTitle="dfdf" sqref="F49:F60 I49:I60 F62:F76 I62:I76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"/>
  <sheetViews>
    <sheetView topLeftCell="F20" zoomScale="70" zoomScaleNormal="70" workbookViewId="0">
      <selection activeCell="I23" sqref="I23"/>
    </sheetView>
  </sheetViews>
  <sheetFormatPr defaultColWidth="8.88671875" defaultRowHeight="16.8"/>
  <cols>
    <col min="1" max="1" width="35.10937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57.109375" style="8" bestFit="1" customWidth="1"/>
    <col min="6" max="6" width="20" style="8" bestFit="1" customWidth="1"/>
    <col min="7" max="7" width="15.88671875" style="8" bestFit="1" customWidth="1"/>
    <col min="8" max="8" width="17" style="8" bestFit="1" customWidth="1"/>
    <col min="9" max="9" width="12.109375" style="8" bestFit="1" customWidth="1"/>
    <col min="10" max="10" width="15.88671875" style="133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>
      <c r="A1" s="78" t="s">
        <v>0</v>
      </c>
      <c r="B1" s="155" t="s">
        <v>58</v>
      </c>
      <c r="C1" s="155"/>
      <c r="D1" s="155"/>
      <c r="E1" s="155"/>
      <c r="F1" s="155"/>
    </row>
    <row r="2" spans="1:6">
      <c r="A2" s="78" t="s">
        <v>5</v>
      </c>
      <c r="B2" s="156" t="s">
        <v>68</v>
      </c>
      <c r="C2" s="156"/>
      <c r="D2" s="156"/>
      <c r="E2" s="156"/>
      <c r="F2" s="156"/>
    </row>
    <row r="3" spans="1:6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>
      <c r="A4" s="70" t="s">
        <v>3</v>
      </c>
      <c r="B4" s="69"/>
      <c r="C4" s="69"/>
      <c r="D4" s="69"/>
      <c r="E4" s="69"/>
      <c r="F4" s="69"/>
    </row>
    <row r="5" spans="1:6">
      <c r="A5" s="70" t="s">
        <v>4</v>
      </c>
      <c r="B5" s="69"/>
      <c r="C5" s="69"/>
      <c r="D5" s="69"/>
      <c r="E5" s="71"/>
      <c r="F5" s="69"/>
    </row>
    <row r="29" spans="1:12">
      <c r="A29" s="157" t="s">
        <v>6</v>
      </c>
      <c r="B29" s="157" t="s">
        <v>12</v>
      </c>
      <c r="C29" s="157" t="s">
        <v>40</v>
      </c>
      <c r="D29" s="158" t="s">
        <v>41</v>
      </c>
      <c r="E29" s="157" t="s">
        <v>42</v>
      </c>
      <c r="F29" s="171" t="s">
        <v>34</v>
      </c>
      <c r="G29" s="171"/>
      <c r="H29" s="171"/>
      <c r="I29" s="171"/>
      <c r="J29" s="171"/>
      <c r="K29" s="171"/>
      <c r="L29" s="171" t="s">
        <v>35</v>
      </c>
    </row>
    <row r="30" spans="1:12">
      <c r="A30" s="157"/>
      <c r="B30" s="157"/>
      <c r="C30" s="157"/>
      <c r="D30" s="158"/>
      <c r="E30" s="157"/>
      <c r="F30" s="171" t="s">
        <v>15</v>
      </c>
      <c r="G30" s="171"/>
      <c r="H30" s="171"/>
      <c r="I30" s="171" t="s">
        <v>16</v>
      </c>
      <c r="J30" s="171"/>
      <c r="K30" s="171"/>
      <c r="L30" s="171"/>
    </row>
    <row r="31" spans="1:12">
      <c r="A31" s="157"/>
      <c r="B31" s="157"/>
      <c r="C31" s="157"/>
      <c r="D31" s="158"/>
      <c r="E31" s="157"/>
      <c r="F31" s="85" t="s">
        <v>36</v>
      </c>
      <c r="G31" s="77" t="s">
        <v>37</v>
      </c>
      <c r="H31" s="85" t="s">
        <v>38</v>
      </c>
      <c r="I31" s="85" t="s">
        <v>36</v>
      </c>
      <c r="J31" s="115" t="s">
        <v>37</v>
      </c>
      <c r="K31" s="85" t="s">
        <v>38</v>
      </c>
      <c r="L31" s="171"/>
    </row>
    <row r="32" spans="1:12">
      <c r="A32" s="151" t="s">
        <v>75</v>
      </c>
      <c r="B32" s="152"/>
      <c r="C32" s="152"/>
      <c r="D32" s="152"/>
      <c r="E32" s="152"/>
      <c r="F32" s="152"/>
      <c r="G32" s="172"/>
      <c r="H32" s="152"/>
      <c r="I32" s="152"/>
      <c r="J32" s="152"/>
      <c r="K32" s="152"/>
      <c r="L32" s="153"/>
    </row>
    <row r="33" spans="1:12">
      <c r="A33" s="69" t="s">
        <v>529</v>
      </c>
      <c r="B33" s="69" t="s">
        <v>532</v>
      </c>
      <c r="C33" s="69" t="s">
        <v>533</v>
      </c>
      <c r="D33" s="69" t="s">
        <v>534</v>
      </c>
      <c r="E33" s="69" t="s">
        <v>535</v>
      </c>
      <c r="F33" s="128" t="s">
        <v>2</v>
      </c>
      <c r="G33" s="130" t="s">
        <v>578</v>
      </c>
      <c r="H33" s="129" t="s">
        <v>57</v>
      </c>
      <c r="I33" s="72" t="s">
        <v>2</v>
      </c>
      <c r="J33" s="134" t="s">
        <v>579</v>
      </c>
      <c r="K33" s="72" t="s">
        <v>56</v>
      </c>
      <c r="L33" s="69"/>
    </row>
    <row r="34" spans="1:12">
      <c r="A34" s="69" t="s">
        <v>530</v>
      </c>
      <c r="B34" s="69" t="s">
        <v>536</v>
      </c>
      <c r="C34" s="69" t="s">
        <v>537</v>
      </c>
      <c r="D34" s="69" t="s">
        <v>538</v>
      </c>
      <c r="E34" s="69" t="s">
        <v>539</v>
      </c>
      <c r="F34" s="128" t="s">
        <v>2</v>
      </c>
      <c r="G34" s="130" t="s">
        <v>578</v>
      </c>
      <c r="H34" s="129" t="s">
        <v>57</v>
      </c>
      <c r="I34" s="72" t="s">
        <v>2</v>
      </c>
      <c r="J34" s="134" t="s">
        <v>579</v>
      </c>
      <c r="K34" s="72" t="s">
        <v>56</v>
      </c>
      <c r="L34" s="69"/>
    </row>
    <row r="35" spans="1:12">
      <c r="A35" s="69" t="s">
        <v>531</v>
      </c>
      <c r="B35" s="69" t="s">
        <v>540</v>
      </c>
      <c r="C35" s="69" t="s">
        <v>541</v>
      </c>
      <c r="D35" s="69" t="s">
        <v>542</v>
      </c>
      <c r="E35" s="69" t="s">
        <v>543</v>
      </c>
      <c r="F35" s="128" t="s">
        <v>2</v>
      </c>
      <c r="G35" s="130" t="s">
        <v>578</v>
      </c>
      <c r="H35" s="129" t="s">
        <v>57</v>
      </c>
      <c r="I35" s="72" t="s">
        <v>2</v>
      </c>
      <c r="J35" s="134" t="s">
        <v>579</v>
      </c>
      <c r="K35" s="72" t="s">
        <v>56</v>
      </c>
      <c r="L35" s="69"/>
    </row>
    <row r="36" spans="1:12">
      <c r="A36" s="104" t="s">
        <v>76</v>
      </c>
      <c r="B36" s="105"/>
      <c r="C36" s="105"/>
      <c r="D36" s="105"/>
      <c r="E36" s="105"/>
      <c r="F36" s="105"/>
      <c r="G36" s="132"/>
      <c r="H36" s="105"/>
      <c r="I36" s="105"/>
      <c r="J36" s="135"/>
      <c r="K36" s="105"/>
      <c r="L36" s="105"/>
    </row>
    <row r="37" spans="1:12">
      <c r="A37" s="69" t="s">
        <v>544</v>
      </c>
      <c r="B37" s="69" t="s">
        <v>545</v>
      </c>
      <c r="C37" s="69" t="s">
        <v>546</v>
      </c>
      <c r="D37" s="69" t="s">
        <v>547</v>
      </c>
      <c r="E37" s="69" t="s">
        <v>548</v>
      </c>
      <c r="F37" s="131" t="s">
        <v>2</v>
      </c>
      <c r="G37" s="130" t="s">
        <v>578</v>
      </c>
      <c r="H37" s="129" t="s">
        <v>57</v>
      </c>
      <c r="I37" s="72" t="s">
        <v>2</v>
      </c>
      <c r="J37" s="134" t="s">
        <v>579</v>
      </c>
      <c r="K37" s="72" t="s">
        <v>56</v>
      </c>
      <c r="L37" s="69"/>
    </row>
    <row r="38" spans="1:12">
      <c r="A38" s="69" t="s">
        <v>549</v>
      </c>
      <c r="B38" s="69" t="s">
        <v>528</v>
      </c>
      <c r="C38" s="69" t="s">
        <v>550</v>
      </c>
      <c r="D38" s="69" t="s">
        <v>551</v>
      </c>
      <c r="E38" s="69" t="s">
        <v>552</v>
      </c>
      <c r="F38" s="131" t="s">
        <v>2</v>
      </c>
      <c r="G38" s="130" t="s">
        <v>578</v>
      </c>
      <c r="H38" s="129" t="s">
        <v>57</v>
      </c>
      <c r="I38" s="72" t="s">
        <v>2</v>
      </c>
      <c r="J38" s="134" t="s">
        <v>579</v>
      </c>
      <c r="K38" s="72" t="s">
        <v>56</v>
      </c>
      <c r="L38" s="69"/>
    </row>
    <row r="39" spans="1:12">
      <c r="A39" s="69" t="s">
        <v>553</v>
      </c>
      <c r="B39" s="69" t="s">
        <v>554</v>
      </c>
      <c r="C39" s="69" t="s">
        <v>555</v>
      </c>
      <c r="D39" s="69" t="s">
        <v>556</v>
      </c>
      <c r="E39" s="69" t="s">
        <v>557</v>
      </c>
      <c r="F39" s="131" t="s">
        <v>2</v>
      </c>
      <c r="G39" s="130" t="s">
        <v>578</v>
      </c>
      <c r="H39" s="129" t="s">
        <v>57</v>
      </c>
      <c r="I39" s="72" t="s">
        <v>2</v>
      </c>
      <c r="J39" s="134" t="s">
        <v>579</v>
      </c>
      <c r="K39" s="72" t="s">
        <v>56</v>
      </c>
      <c r="L39" s="69"/>
    </row>
    <row r="40" spans="1:12">
      <c r="A40" s="69" t="s">
        <v>558</v>
      </c>
      <c r="B40" s="69" t="s">
        <v>559</v>
      </c>
      <c r="C40" s="69" t="s">
        <v>560</v>
      </c>
      <c r="D40" s="69" t="s">
        <v>561</v>
      </c>
      <c r="E40" s="69" t="s">
        <v>562</v>
      </c>
      <c r="F40" s="131" t="s">
        <v>2</v>
      </c>
      <c r="G40" s="130" t="s">
        <v>578</v>
      </c>
      <c r="H40" s="129" t="s">
        <v>57</v>
      </c>
      <c r="I40" s="72" t="s">
        <v>2</v>
      </c>
      <c r="J40" s="134" t="s">
        <v>579</v>
      </c>
      <c r="K40" s="72" t="s">
        <v>56</v>
      </c>
      <c r="L40" s="69"/>
    </row>
    <row r="41" spans="1:12">
      <c r="A41" s="69" t="s">
        <v>563</v>
      </c>
      <c r="B41" s="69" t="s">
        <v>564</v>
      </c>
      <c r="C41" s="69" t="s">
        <v>565</v>
      </c>
      <c r="D41" s="69" t="s">
        <v>566</v>
      </c>
      <c r="E41" s="69" t="s">
        <v>567</v>
      </c>
      <c r="F41" s="131" t="s">
        <v>2</v>
      </c>
      <c r="G41" s="130" t="s">
        <v>578</v>
      </c>
      <c r="H41" s="129" t="s">
        <v>57</v>
      </c>
      <c r="I41" s="72" t="s">
        <v>2</v>
      </c>
      <c r="J41" s="134" t="s">
        <v>579</v>
      </c>
      <c r="K41" s="72" t="s">
        <v>56</v>
      </c>
      <c r="L41" s="69"/>
    </row>
    <row r="42" spans="1:12">
      <c r="A42" s="69" t="s">
        <v>568</v>
      </c>
      <c r="B42" s="69" t="s">
        <v>569</v>
      </c>
      <c r="C42" s="69" t="s">
        <v>570</v>
      </c>
      <c r="D42" s="69" t="s">
        <v>571</v>
      </c>
      <c r="E42" s="69" t="s">
        <v>572</v>
      </c>
      <c r="F42" s="131" t="s">
        <v>2</v>
      </c>
      <c r="G42" s="130" t="s">
        <v>578</v>
      </c>
      <c r="H42" s="129" t="s">
        <v>57</v>
      </c>
      <c r="I42" s="72" t="s">
        <v>2</v>
      </c>
      <c r="J42" s="134" t="s">
        <v>579</v>
      </c>
      <c r="K42" s="72" t="s">
        <v>56</v>
      </c>
      <c r="L42" s="69"/>
    </row>
    <row r="43" spans="1:12">
      <c r="A43" s="69" t="s">
        <v>573</v>
      </c>
      <c r="B43" s="69" t="s">
        <v>574</v>
      </c>
      <c r="C43" s="69" t="s">
        <v>575</v>
      </c>
      <c r="D43" s="69" t="s">
        <v>576</v>
      </c>
      <c r="E43" s="69" t="s">
        <v>577</v>
      </c>
      <c r="F43" s="131" t="s">
        <v>2</v>
      </c>
      <c r="G43" s="130" t="s">
        <v>578</v>
      </c>
      <c r="H43" s="129" t="s">
        <v>57</v>
      </c>
      <c r="I43" s="72" t="s">
        <v>2</v>
      </c>
      <c r="J43" s="134" t="s">
        <v>579</v>
      </c>
      <c r="K43" s="72" t="s">
        <v>56</v>
      </c>
      <c r="L43" s="69"/>
    </row>
  </sheetData>
  <mergeCells count="12">
    <mergeCell ref="L29:L31"/>
    <mergeCell ref="F30:H30"/>
    <mergeCell ref="I30:K30"/>
    <mergeCell ref="A32:L32"/>
    <mergeCell ref="B1:F1"/>
    <mergeCell ref="B2:F2"/>
    <mergeCell ref="A29:A31"/>
    <mergeCell ref="B29:B31"/>
    <mergeCell ref="C29:C31"/>
    <mergeCell ref="D29:D31"/>
    <mergeCell ref="E29:E31"/>
    <mergeCell ref="F29:K29"/>
  </mergeCells>
  <phoneticPr fontId="19" type="noConversion"/>
  <dataValidations count="1">
    <dataValidation type="list" operator="equal" allowBlank="1" showErrorMessage="1" promptTitle="dfdf" sqref="F33:F35 F37:F43 I37:I43 I33:I35" xr:uid="{00000000-0002-0000-03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zoomScale="55" zoomScaleNormal="55" workbookViewId="0">
      <selection activeCell="C69" sqref="C69"/>
    </sheetView>
  </sheetViews>
  <sheetFormatPr defaultColWidth="8.88671875" defaultRowHeight="16.8"/>
  <cols>
    <col min="1" max="1" width="45.6640625" style="8" bestFit="1" customWidth="1"/>
    <col min="2" max="2" width="21.6640625" style="8" bestFit="1" customWidth="1"/>
    <col min="3" max="3" width="29.88671875" style="8" bestFit="1" customWidth="1"/>
    <col min="4" max="5" width="84.5546875" style="8" bestFit="1" customWidth="1"/>
    <col min="6" max="6" width="20" style="8" bestFit="1" customWidth="1"/>
    <col min="7" max="7" width="15.6640625" style="133" bestFit="1" customWidth="1"/>
    <col min="8" max="8" width="16.88671875" style="8" bestFit="1" customWidth="1"/>
    <col min="9" max="9" width="12.109375" style="8" bestFit="1" customWidth="1"/>
    <col min="10" max="10" width="15.6640625" style="8" bestFit="1" customWidth="1"/>
    <col min="11" max="11" width="16.88671875" style="8" bestFit="1" customWidth="1"/>
    <col min="12" max="12" width="11.109375" style="8" bestFit="1" customWidth="1"/>
    <col min="13" max="13" width="11.33203125" style="8" bestFit="1" customWidth="1"/>
    <col min="14" max="16384" width="8.88671875" style="8"/>
  </cols>
  <sheetData>
    <row r="1" spans="1:6">
      <c r="A1" s="78" t="s">
        <v>0</v>
      </c>
      <c r="B1" s="155" t="s">
        <v>58</v>
      </c>
      <c r="C1" s="155"/>
      <c r="D1" s="155"/>
      <c r="E1" s="155"/>
      <c r="F1" s="155"/>
    </row>
    <row r="2" spans="1:6">
      <c r="A2" s="78" t="s">
        <v>5</v>
      </c>
      <c r="B2" s="156" t="s">
        <v>69</v>
      </c>
      <c r="C2" s="156"/>
      <c r="D2" s="156"/>
      <c r="E2" s="156"/>
      <c r="F2" s="156"/>
    </row>
    <row r="3" spans="1:6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>
      <c r="A4" s="70" t="s">
        <v>3</v>
      </c>
      <c r="B4" s="69">
        <v>24</v>
      </c>
      <c r="C4" s="69">
        <v>0</v>
      </c>
      <c r="D4" s="69">
        <v>0</v>
      </c>
      <c r="E4" s="69">
        <v>0</v>
      </c>
      <c r="F4" s="69">
        <v>24</v>
      </c>
    </row>
    <row r="5" spans="1:6">
      <c r="A5" s="70" t="s">
        <v>4</v>
      </c>
      <c r="B5" s="69">
        <v>24</v>
      </c>
      <c r="C5" s="69">
        <v>0</v>
      </c>
      <c r="D5" s="69">
        <v>0</v>
      </c>
      <c r="E5" s="71">
        <v>0</v>
      </c>
      <c r="F5" s="69">
        <v>24</v>
      </c>
    </row>
    <row r="34" spans="1:12" ht="33.6" customHeight="1">
      <c r="A34" s="173" t="s">
        <v>6</v>
      </c>
      <c r="B34" s="173" t="s">
        <v>12</v>
      </c>
      <c r="C34" s="173" t="s">
        <v>63</v>
      </c>
      <c r="D34" s="173" t="s">
        <v>41</v>
      </c>
      <c r="E34" s="173" t="s">
        <v>42</v>
      </c>
      <c r="F34" s="176" t="s">
        <v>34</v>
      </c>
      <c r="G34" s="177"/>
      <c r="H34" s="177"/>
      <c r="I34" s="177"/>
      <c r="J34" s="177"/>
      <c r="K34" s="178"/>
      <c r="L34" s="173" t="s">
        <v>35</v>
      </c>
    </row>
    <row r="35" spans="1:12">
      <c r="A35" s="174"/>
      <c r="B35" s="174"/>
      <c r="C35" s="174"/>
      <c r="D35" s="174"/>
      <c r="E35" s="174"/>
      <c r="F35" s="176" t="s">
        <v>15</v>
      </c>
      <c r="G35" s="177"/>
      <c r="H35" s="178"/>
      <c r="I35" s="176" t="s">
        <v>16</v>
      </c>
      <c r="J35" s="177"/>
      <c r="K35" s="178"/>
      <c r="L35" s="174"/>
    </row>
    <row r="36" spans="1:12" ht="33.6">
      <c r="A36" s="175"/>
      <c r="B36" s="175"/>
      <c r="C36" s="175"/>
      <c r="D36" s="175"/>
      <c r="E36" s="175"/>
      <c r="F36" s="89" t="s">
        <v>36</v>
      </c>
      <c r="G36" s="90" t="s">
        <v>37</v>
      </c>
      <c r="H36" s="91" t="s">
        <v>38</v>
      </c>
      <c r="I36" s="89" t="s">
        <v>36</v>
      </c>
      <c r="J36" s="90" t="s">
        <v>37</v>
      </c>
      <c r="K36" s="91" t="s">
        <v>38</v>
      </c>
      <c r="L36" s="175"/>
    </row>
    <row r="37" spans="1:12">
      <c r="A37" s="93" t="s">
        <v>189</v>
      </c>
      <c r="B37" s="94"/>
      <c r="C37" s="94"/>
      <c r="D37" s="94"/>
      <c r="E37" s="94"/>
      <c r="F37" s="94"/>
      <c r="G37" s="138"/>
      <c r="H37" s="94"/>
      <c r="I37" s="94"/>
      <c r="J37" s="94"/>
      <c r="K37" s="94"/>
      <c r="L37" s="95"/>
    </row>
    <row r="38" spans="1:12" ht="16.95" customHeight="1">
      <c r="A38" s="114" t="s">
        <v>190</v>
      </c>
      <c r="B38" s="106" t="s">
        <v>59</v>
      </c>
      <c r="C38" s="106" t="s">
        <v>191</v>
      </c>
      <c r="D38" s="106" t="s">
        <v>237</v>
      </c>
      <c r="E38" s="106" t="s">
        <v>237</v>
      </c>
      <c r="F38" s="136" t="s">
        <v>2</v>
      </c>
      <c r="G38" s="134" t="s">
        <v>581</v>
      </c>
      <c r="H38" s="137" t="s">
        <v>60</v>
      </c>
      <c r="I38" s="98" t="s">
        <v>2</v>
      </c>
      <c r="J38" s="134" t="s">
        <v>580</v>
      </c>
      <c r="K38" s="97" t="s">
        <v>57</v>
      </c>
      <c r="L38" s="97"/>
    </row>
    <row r="39" spans="1:12">
      <c r="A39" s="114" t="s">
        <v>192</v>
      </c>
      <c r="B39" s="106" t="s">
        <v>193</v>
      </c>
      <c r="C39" s="106" t="s">
        <v>194</v>
      </c>
      <c r="D39" s="106" t="s">
        <v>195</v>
      </c>
      <c r="E39" s="106" t="s">
        <v>195</v>
      </c>
      <c r="F39" s="136" t="s">
        <v>2</v>
      </c>
      <c r="G39" s="134" t="s">
        <v>581</v>
      </c>
      <c r="H39" s="137" t="s">
        <v>60</v>
      </c>
      <c r="I39" s="98" t="s">
        <v>2</v>
      </c>
      <c r="J39" s="134" t="s">
        <v>580</v>
      </c>
      <c r="K39" s="97" t="s">
        <v>57</v>
      </c>
      <c r="L39" s="97"/>
    </row>
    <row r="40" spans="1:12" ht="33.6">
      <c r="A40" s="114" t="s">
        <v>196</v>
      </c>
      <c r="B40" s="106" t="s">
        <v>197</v>
      </c>
      <c r="C40" s="106" t="s">
        <v>198</v>
      </c>
      <c r="D40" s="106" t="s">
        <v>238</v>
      </c>
      <c r="E40" s="106" t="s">
        <v>238</v>
      </c>
      <c r="F40" s="136" t="s">
        <v>2</v>
      </c>
      <c r="G40" s="134" t="s">
        <v>581</v>
      </c>
      <c r="H40" s="137" t="s">
        <v>60</v>
      </c>
      <c r="I40" s="98" t="s">
        <v>2</v>
      </c>
      <c r="J40" s="134" t="s">
        <v>580</v>
      </c>
      <c r="K40" s="97" t="s">
        <v>57</v>
      </c>
      <c r="L40" s="97"/>
    </row>
    <row r="41" spans="1:12" ht="33.6">
      <c r="A41" s="114" t="s">
        <v>199</v>
      </c>
      <c r="B41" s="106" t="s">
        <v>200</v>
      </c>
      <c r="C41" s="106" t="s">
        <v>201</v>
      </c>
      <c r="D41" s="106" t="s">
        <v>239</v>
      </c>
      <c r="E41" s="106" t="s">
        <v>239</v>
      </c>
      <c r="F41" s="136" t="s">
        <v>2</v>
      </c>
      <c r="G41" s="134" t="s">
        <v>581</v>
      </c>
      <c r="H41" s="137" t="s">
        <v>60</v>
      </c>
      <c r="I41" s="98" t="s">
        <v>2</v>
      </c>
      <c r="J41" s="134" t="s">
        <v>580</v>
      </c>
      <c r="K41" s="97" t="s">
        <v>57</v>
      </c>
      <c r="L41" s="97"/>
    </row>
    <row r="42" spans="1:12">
      <c r="A42" s="114" t="s">
        <v>202</v>
      </c>
      <c r="B42" s="106" t="s">
        <v>203</v>
      </c>
      <c r="C42" s="106" t="s">
        <v>204</v>
      </c>
      <c r="D42" s="106" t="s">
        <v>205</v>
      </c>
      <c r="E42" s="106" t="s">
        <v>205</v>
      </c>
      <c r="F42" s="136" t="s">
        <v>2</v>
      </c>
      <c r="G42" s="134" t="s">
        <v>581</v>
      </c>
      <c r="H42" s="137" t="s">
        <v>60</v>
      </c>
      <c r="I42" s="98" t="s">
        <v>2</v>
      </c>
      <c r="J42" s="134" t="s">
        <v>580</v>
      </c>
      <c r="K42" s="97" t="s">
        <v>57</v>
      </c>
      <c r="L42" s="97"/>
    </row>
    <row r="43" spans="1:12">
      <c r="A43" s="114" t="s">
        <v>206</v>
      </c>
      <c r="B43" s="106" t="s">
        <v>207</v>
      </c>
      <c r="C43" s="106" t="s">
        <v>208</v>
      </c>
      <c r="D43" s="106" t="s">
        <v>209</v>
      </c>
      <c r="E43" s="106" t="s">
        <v>209</v>
      </c>
      <c r="F43" s="136" t="s">
        <v>2</v>
      </c>
      <c r="G43" s="134" t="s">
        <v>581</v>
      </c>
      <c r="H43" s="137" t="s">
        <v>60</v>
      </c>
      <c r="I43" s="98" t="s">
        <v>2</v>
      </c>
      <c r="J43" s="134" t="s">
        <v>580</v>
      </c>
      <c r="K43" s="97" t="s">
        <v>57</v>
      </c>
      <c r="L43" s="97"/>
    </row>
    <row r="44" spans="1:12" ht="33.6">
      <c r="A44" s="114" t="s">
        <v>210</v>
      </c>
      <c r="B44" s="106" t="s">
        <v>211</v>
      </c>
      <c r="C44" s="106" t="s">
        <v>212</v>
      </c>
      <c r="D44" s="106" t="s">
        <v>213</v>
      </c>
      <c r="E44" s="106" t="s">
        <v>213</v>
      </c>
      <c r="F44" s="136" t="s">
        <v>2</v>
      </c>
      <c r="G44" s="134" t="s">
        <v>581</v>
      </c>
      <c r="H44" s="137" t="s">
        <v>60</v>
      </c>
      <c r="I44" s="98" t="s">
        <v>2</v>
      </c>
      <c r="J44" s="134" t="s">
        <v>580</v>
      </c>
      <c r="K44" s="97" t="s">
        <v>57</v>
      </c>
      <c r="L44" s="92"/>
    </row>
    <row r="45" spans="1:12">
      <c r="A45" s="114" t="s">
        <v>214</v>
      </c>
      <c r="B45" s="106" t="s">
        <v>215</v>
      </c>
      <c r="C45" s="106" t="s">
        <v>216</v>
      </c>
      <c r="D45" s="106" t="s">
        <v>217</v>
      </c>
      <c r="E45" s="106" t="s">
        <v>217</v>
      </c>
      <c r="F45" s="136" t="s">
        <v>2</v>
      </c>
      <c r="G45" s="134" t="s">
        <v>581</v>
      </c>
      <c r="H45" s="137" t="s">
        <v>60</v>
      </c>
      <c r="I45" s="98" t="s">
        <v>2</v>
      </c>
      <c r="J45" s="134" t="s">
        <v>580</v>
      </c>
      <c r="K45" s="97" t="s">
        <v>57</v>
      </c>
      <c r="L45" s="92"/>
    </row>
    <row r="46" spans="1:12" ht="33.6">
      <c r="A46" s="114" t="s">
        <v>218</v>
      </c>
      <c r="B46" s="106" t="s">
        <v>219</v>
      </c>
      <c r="C46" s="106" t="s">
        <v>220</v>
      </c>
      <c r="D46" s="106" t="s">
        <v>221</v>
      </c>
      <c r="E46" s="106" t="s">
        <v>221</v>
      </c>
      <c r="F46" s="136" t="s">
        <v>2</v>
      </c>
      <c r="G46" s="134" t="s">
        <v>581</v>
      </c>
      <c r="H46" s="137" t="s">
        <v>60</v>
      </c>
      <c r="I46" s="98" t="s">
        <v>2</v>
      </c>
      <c r="J46" s="134" t="s">
        <v>580</v>
      </c>
      <c r="K46" s="97" t="s">
        <v>57</v>
      </c>
      <c r="L46" s="92"/>
    </row>
    <row r="47" spans="1:12" ht="33.6">
      <c r="A47" s="114" t="s">
        <v>222</v>
      </c>
      <c r="B47" s="106" t="s">
        <v>223</v>
      </c>
      <c r="C47" s="106" t="s">
        <v>224</v>
      </c>
      <c r="D47" s="106" t="s">
        <v>240</v>
      </c>
      <c r="E47" s="106" t="s">
        <v>240</v>
      </c>
      <c r="F47" s="136" t="s">
        <v>2</v>
      </c>
      <c r="G47" s="134" t="s">
        <v>581</v>
      </c>
      <c r="H47" s="137" t="s">
        <v>60</v>
      </c>
      <c r="I47" s="98" t="s">
        <v>2</v>
      </c>
      <c r="J47" s="134" t="s">
        <v>580</v>
      </c>
      <c r="K47" s="97" t="s">
        <v>57</v>
      </c>
      <c r="L47" s="97"/>
    </row>
    <row r="48" spans="1:12" ht="33.6">
      <c r="A48" s="114" t="s">
        <v>225</v>
      </c>
      <c r="B48" s="106" t="s">
        <v>226</v>
      </c>
      <c r="C48" s="106" t="s">
        <v>224</v>
      </c>
      <c r="D48" s="106" t="s">
        <v>241</v>
      </c>
      <c r="E48" s="106" t="s">
        <v>241</v>
      </c>
      <c r="F48" s="136" t="s">
        <v>2</v>
      </c>
      <c r="G48" s="134" t="s">
        <v>581</v>
      </c>
      <c r="H48" s="137" t="s">
        <v>60</v>
      </c>
      <c r="I48" s="98" t="s">
        <v>2</v>
      </c>
      <c r="J48" s="134" t="s">
        <v>580</v>
      </c>
      <c r="K48" s="97" t="s">
        <v>57</v>
      </c>
      <c r="L48" s="97"/>
    </row>
    <row r="49" spans="1:13" ht="33.6">
      <c r="A49" s="114" t="s">
        <v>227</v>
      </c>
      <c r="B49" s="106" t="s">
        <v>228</v>
      </c>
      <c r="C49" s="106" t="s">
        <v>224</v>
      </c>
      <c r="D49" s="106" t="s">
        <v>242</v>
      </c>
      <c r="E49" s="106" t="s">
        <v>242</v>
      </c>
      <c r="F49" s="136" t="s">
        <v>2</v>
      </c>
      <c r="G49" s="134" t="s">
        <v>581</v>
      </c>
      <c r="H49" s="137" t="s">
        <v>60</v>
      </c>
      <c r="I49" s="98" t="s">
        <v>2</v>
      </c>
      <c r="J49" s="134" t="s">
        <v>580</v>
      </c>
      <c r="K49" s="97" t="s">
        <v>57</v>
      </c>
      <c r="L49" s="100"/>
    </row>
    <row r="50" spans="1:13" ht="33.6">
      <c r="A50" s="114" t="s">
        <v>229</v>
      </c>
      <c r="B50" s="106" t="s">
        <v>230</v>
      </c>
      <c r="C50" s="106" t="s">
        <v>231</v>
      </c>
      <c r="D50" s="106" t="s">
        <v>232</v>
      </c>
      <c r="E50" s="106" t="s">
        <v>232</v>
      </c>
      <c r="F50" s="136" t="s">
        <v>2</v>
      </c>
      <c r="G50" s="134" t="s">
        <v>581</v>
      </c>
      <c r="H50" s="137" t="s">
        <v>60</v>
      </c>
      <c r="I50" s="98" t="s">
        <v>2</v>
      </c>
      <c r="J50" s="134" t="s">
        <v>580</v>
      </c>
      <c r="K50" s="97" t="s">
        <v>57</v>
      </c>
      <c r="L50" s="100"/>
    </row>
    <row r="51" spans="1:13" ht="33.6">
      <c r="A51" s="114" t="s">
        <v>233</v>
      </c>
      <c r="B51" s="106" t="s">
        <v>234</v>
      </c>
      <c r="C51" s="106" t="s">
        <v>235</v>
      </c>
      <c r="D51" s="106" t="s">
        <v>236</v>
      </c>
      <c r="E51" s="106" t="s">
        <v>236</v>
      </c>
      <c r="F51" s="136" t="s">
        <v>2</v>
      </c>
      <c r="G51" s="134" t="s">
        <v>581</v>
      </c>
      <c r="H51" s="137" t="s">
        <v>60</v>
      </c>
      <c r="I51" s="98" t="s">
        <v>2</v>
      </c>
      <c r="J51" s="134" t="s">
        <v>580</v>
      </c>
      <c r="K51" s="97" t="s">
        <v>57</v>
      </c>
      <c r="L51" s="100"/>
    </row>
    <row r="52" spans="1:13">
      <c r="A52" s="108" t="s">
        <v>61</v>
      </c>
      <c r="B52" s="109"/>
      <c r="C52" s="109"/>
      <c r="D52" s="109"/>
      <c r="E52" s="109"/>
      <c r="F52" s="109"/>
      <c r="G52" s="139"/>
      <c r="H52" s="109"/>
      <c r="I52" s="109"/>
      <c r="J52" s="109"/>
      <c r="K52" s="109"/>
      <c r="L52" s="110"/>
      <c r="M52" s="96"/>
    </row>
    <row r="53" spans="1:13" ht="33.6">
      <c r="A53" s="106" t="s">
        <v>243</v>
      </c>
      <c r="B53" s="106" t="s">
        <v>244</v>
      </c>
      <c r="C53" s="106" t="s">
        <v>245</v>
      </c>
      <c r="D53" s="106" t="s">
        <v>246</v>
      </c>
      <c r="E53" s="106" t="s">
        <v>246</v>
      </c>
      <c r="F53" s="74" t="s">
        <v>2</v>
      </c>
      <c r="G53" s="134" t="s">
        <v>581</v>
      </c>
      <c r="H53" s="72" t="s">
        <v>60</v>
      </c>
      <c r="I53" s="72" t="s">
        <v>2</v>
      </c>
      <c r="J53" s="134" t="s">
        <v>580</v>
      </c>
      <c r="K53" s="72" t="s">
        <v>57</v>
      </c>
      <c r="L53" s="69"/>
    </row>
    <row r="54" spans="1:13">
      <c r="A54" s="106" t="s">
        <v>247</v>
      </c>
      <c r="B54" s="106" t="s">
        <v>248</v>
      </c>
      <c r="C54" s="106" t="s">
        <v>249</v>
      </c>
      <c r="D54" s="106" t="s">
        <v>250</v>
      </c>
      <c r="E54" s="106" t="s">
        <v>250</v>
      </c>
      <c r="F54" s="74" t="s">
        <v>2</v>
      </c>
      <c r="G54" s="134" t="s">
        <v>581</v>
      </c>
      <c r="H54" s="72" t="s">
        <v>60</v>
      </c>
      <c r="I54" s="72" t="s">
        <v>2</v>
      </c>
      <c r="J54" s="134" t="s">
        <v>580</v>
      </c>
      <c r="K54" s="72" t="s">
        <v>57</v>
      </c>
      <c r="L54" s="69"/>
    </row>
    <row r="55" spans="1:13" ht="33.6">
      <c r="A55" s="106" t="s">
        <v>251</v>
      </c>
      <c r="B55" s="106" t="s">
        <v>252</v>
      </c>
      <c r="C55" s="106" t="s">
        <v>253</v>
      </c>
      <c r="D55" s="106" t="s">
        <v>254</v>
      </c>
      <c r="E55" s="106" t="s">
        <v>254</v>
      </c>
      <c r="F55" s="74" t="s">
        <v>2</v>
      </c>
      <c r="G55" s="134" t="s">
        <v>581</v>
      </c>
      <c r="H55" s="72" t="s">
        <v>60</v>
      </c>
      <c r="I55" s="72" t="s">
        <v>2</v>
      </c>
      <c r="J55" s="134" t="s">
        <v>580</v>
      </c>
      <c r="K55" s="72" t="s">
        <v>57</v>
      </c>
      <c r="L55" s="69"/>
    </row>
    <row r="56" spans="1:13" ht="33.6">
      <c r="A56" s="106" t="s">
        <v>255</v>
      </c>
      <c r="B56" s="106" t="s">
        <v>256</v>
      </c>
      <c r="C56" s="106" t="s">
        <v>257</v>
      </c>
      <c r="D56" s="106" t="s">
        <v>258</v>
      </c>
      <c r="E56" s="106" t="s">
        <v>258</v>
      </c>
      <c r="F56" s="74" t="s">
        <v>2</v>
      </c>
      <c r="G56" s="134" t="s">
        <v>581</v>
      </c>
      <c r="H56" s="72" t="s">
        <v>60</v>
      </c>
      <c r="I56" s="72" t="s">
        <v>2</v>
      </c>
      <c r="J56" s="134" t="s">
        <v>580</v>
      </c>
      <c r="K56" s="72" t="s">
        <v>57</v>
      </c>
      <c r="L56" s="69"/>
    </row>
    <row r="57" spans="1:13" ht="33.6">
      <c r="A57" s="106" t="s">
        <v>259</v>
      </c>
      <c r="B57" s="106" t="s">
        <v>260</v>
      </c>
      <c r="C57" s="106" t="s">
        <v>261</v>
      </c>
      <c r="D57" s="106" t="s">
        <v>262</v>
      </c>
      <c r="E57" s="106" t="s">
        <v>262</v>
      </c>
      <c r="F57" s="74" t="s">
        <v>2</v>
      </c>
      <c r="G57" s="134" t="s">
        <v>581</v>
      </c>
      <c r="H57" s="72" t="s">
        <v>60</v>
      </c>
      <c r="I57" s="72" t="s">
        <v>2</v>
      </c>
      <c r="J57" s="134" t="s">
        <v>580</v>
      </c>
      <c r="K57" s="72" t="s">
        <v>57</v>
      </c>
      <c r="L57" s="69"/>
    </row>
    <row r="58" spans="1:13" ht="33.6">
      <c r="A58" s="106" t="s">
        <v>263</v>
      </c>
      <c r="B58" s="106" t="s">
        <v>264</v>
      </c>
      <c r="C58" s="106" t="s">
        <v>265</v>
      </c>
      <c r="D58" s="106" t="s">
        <v>64</v>
      </c>
      <c r="E58" s="106" t="s">
        <v>64</v>
      </c>
      <c r="F58" s="74" t="s">
        <v>2</v>
      </c>
      <c r="G58" s="134" t="s">
        <v>581</v>
      </c>
      <c r="H58" s="72" t="s">
        <v>60</v>
      </c>
      <c r="I58" s="72" t="s">
        <v>2</v>
      </c>
      <c r="J58" s="134" t="s">
        <v>580</v>
      </c>
      <c r="K58" s="72" t="s">
        <v>57</v>
      </c>
      <c r="L58" s="69"/>
    </row>
    <row r="59" spans="1:13" ht="33.6">
      <c r="A59" s="106" t="s">
        <v>266</v>
      </c>
      <c r="B59" s="106" t="s">
        <v>267</v>
      </c>
      <c r="C59" s="106" t="s">
        <v>268</v>
      </c>
      <c r="D59" s="106" t="s">
        <v>269</v>
      </c>
      <c r="E59" s="106" t="s">
        <v>269</v>
      </c>
      <c r="F59" s="74" t="s">
        <v>2</v>
      </c>
      <c r="G59" s="134" t="s">
        <v>581</v>
      </c>
      <c r="H59" s="72" t="s">
        <v>60</v>
      </c>
      <c r="I59" s="72" t="s">
        <v>2</v>
      </c>
      <c r="J59" s="134" t="s">
        <v>580</v>
      </c>
      <c r="K59" s="72" t="s">
        <v>57</v>
      </c>
      <c r="L59" s="69"/>
    </row>
    <row r="60" spans="1:13" ht="50.4">
      <c r="A60" s="106" t="s">
        <v>270</v>
      </c>
      <c r="B60" s="106" t="s">
        <v>271</v>
      </c>
      <c r="C60" s="106" t="s">
        <v>272</v>
      </c>
      <c r="D60" s="106" t="s">
        <v>273</v>
      </c>
      <c r="E60" s="106" t="s">
        <v>273</v>
      </c>
      <c r="F60" s="74" t="s">
        <v>2</v>
      </c>
      <c r="G60" s="134" t="s">
        <v>581</v>
      </c>
      <c r="H60" s="72" t="s">
        <v>60</v>
      </c>
      <c r="I60" s="72" t="s">
        <v>2</v>
      </c>
      <c r="J60" s="134" t="s">
        <v>580</v>
      </c>
      <c r="K60" s="72" t="s">
        <v>57</v>
      </c>
      <c r="L60" s="69"/>
    </row>
    <row r="61" spans="1:13" ht="33.6">
      <c r="A61" s="106" t="s">
        <v>274</v>
      </c>
      <c r="B61" s="106" t="s">
        <v>193</v>
      </c>
      <c r="C61" s="106" t="s">
        <v>275</v>
      </c>
      <c r="D61" s="106" t="s">
        <v>276</v>
      </c>
      <c r="E61" s="106" t="s">
        <v>276</v>
      </c>
      <c r="F61" s="74" t="s">
        <v>2</v>
      </c>
      <c r="G61" s="134" t="s">
        <v>581</v>
      </c>
      <c r="H61" s="72" t="s">
        <v>60</v>
      </c>
      <c r="I61" s="72" t="s">
        <v>2</v>
      </c>
      <c r="J61" s="134" t="s">
        <v>580</v>
      </c>
      <c r="K61" s="72" t="s">
        <v>57</v>
      </c>
      <c r="L61" s="69"/>
    </row>
    <row r="62" spans="1:13" ht="33.6">
      <c r="A62" s="106" t="s">
        <v>277</v>
      </c>
      <c r="B62" s="106" t="s">
        <v>278</v>
      </c>
      <c r="C62" s="106" t="s">
        <v>279</v>
      </c>
      <c r="D62" s="106" t="s">
        <v>280</v>
      </c>
      <c r="E62" s="106" t="s">
        <v>280</v>
      </c>
      <c r="F62" s="74" t="s">
        <v>2</v>
      </c>
      <c r="G62" s="134" t="s">
        <v>581</v>
      </c>
      <c r="H62" s="72" t="s">
        <v>60</v>
      </c>
      <c r="I62" s="72" t="s">
        <v>2</v>
      </c>
      <c r="J62" s="134" t="s">
        <v>580</v>
      </c>
      <c r="K62" s="72" t="s">
        <v>57</v>
      </c>
      <c r="L62" s="69"/>
    </row>
    <row r="63" spans="1:13">
      <c r="F63" s="99"/>
    </row>
  </sheetData>
  <mergeCells count="11">
    <mergeCell ref="A34:A36"/>
    <mergeCell ref="B34:B36"/>
    <mergeCell ref="C34:C36"/>
    <mergeCell ref="D34:D36"/>
    <mergeCell ref="E34:E36"/>
    <mergeCell ref="B1:F1"/>
    <mergeCell ref="B2:F2"/>
    <mergeCell ref="L34:L36"/>
    <mergeCell ref="F34:K34"/>
    <mergeCell ref="F35:H35"/>
    <mergeCell ref="I35:K35"/>
  </mergeCells>
  <phoneticPr fontId="19" type="noConversion"/>
  <dataValidations count="1">
    <dataValidation type="list" operator="equal" allowBlank="1" showErrorMessage="1" promptTitle="dfdf" sqref="F53:F62 I53:I62" xr:uid="{00000000-0002-0000-04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6"/>
  <sheetViews>
    <sheetView topLeftCell="A55" zoomScale="55" zoomScaleNormal="55" workbookViewId="0">
      <selection activeCell="A6" sqref="A6"/>
    </sheetView>
  </sheetViews>
  <sheetFormatPr defaultColWidth="33.109375" defaultRowHeight="16.8"/>
  <cols>
    <col min="1" max="1" width="15.44140625" style="8" bestFit="1" customWidth="1"/>
    <col min="2" max="2" width="20.6640625" style="8" bestFit="1" customWidth="1"/>
    <col min="3" max="3" width="18.88671875" style="8" bestFit="1" customWidth="1"/>
    <col min="4" max="5" width="23.33203125" style="8" bestFit="1" customWidth="1"/>
    <col min="6" max="6" width="20" style="8" bestFit="1" customWidth="1"/>
    <col min="7" max="7" width="15.88671875" style="133" bestFit="1" customWidth="1"/>
    <col min="8" max="8" width="17" style="8" bestFit="1" customWidth="1"/>
    <col min="9" max="9" width="12.109375" style="8" bestFit="1" customWidth="1"/>
    <col min="10" max="10" width="15.88671875" style="133" bestFit="1" customWidth="1"/>
    <col min="11" max="11" width="17" style="8" bestFit="1" customWidth="1"/>
    <col min="12" max="12" width="11.33203125" style="8" bestFit="1" customWidth="1"/>
    <col min="13" max="16384" width="33.109375" style="8"/>
  </cols>
  <sheetData>
    <row r="1" spans="1:6">
      <c r="A1" s="78" t="s">
        <v>0</v>
      </c>
      <c r="B1" s="182" t="s">
        <v>58</v>
      </c>
      <c r="C1" s="183"/>
      <c r="D1" s="183"/>
      <c r="E1" s="183"/>
      <c r="F1" s="184"/>
    </row>
    <row r="2" spans="1:6">
      <c r="A2" s="78" t="s">
        <v>5</v>
      </c>
      <c r="B2" s="185" t="s">
        <v>364</v>
      </c>
      <c r="C2" s="186"/>
      <c r="D2" s="186"/>
      <c r="E2" s="186"/>
      <c r="F2" s="187"/>
    </row>
    <row r="3" spans="1:6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>
      <c r="A4" s="70" t="s">
        <v>3</v>
      </c>
      <c r="B4" s="69">
        <v>20</v>
      </c>
      <c r="C4" s="69">
        <v>0</v>
      </c>
      <c r="D4" s="69">
        <v>0</v>
      </c>
      <c r="E4" s="69">
        <v>0</v>
      </c>
      <c r="F4" s="69">
        <v>20</v>
      </c>
    </row>
    <row r="5" spans="1:6">
      <c r="A5" s="70" t="s">
        <v>4</v>
      </c>
      <c r="B5" s="69">
        <v>20</v>
      </c>
      <c r="C5" s="69">
        <v>0</v>
      </c>
      <c r="D5" s="69">
        <v>0</v>
      </c>
      <c r="E5" s="71">
        <v>0</v>
      </c>
      <c r="F5" s="69">
        <v>20</v>
      </c>
    </row>
    <row r="42" spans="1:12">
      <c r="A42" s="162" t="s">
        <v>6</v>
      </c>
      <c r="B42" s="162" t="s">
        <v>12</v>
      </c>
      <c r="C42" s="162" t="s">
        <v>40</v>
      </c>
      <c r="D42" s="165" t="s">
        <v>41</v>
      </c>
      <c r="E42" s="162" t="s">
        <v>42</v>
      </c>
      <c r="F42" s="168" t="s">
        <v>34</v>
      </c>
      <c r="G42" s="169"/>
      <c r="H42" s="169"/>
      <c r="I42" s="169"/>
      <c r="J42" s="169"/>
      <c r="K42" s="170"/>
      <c r="L42" s="159" t="s">
        <v>35</v>
      </c>
    </row>
    <row r="43" spans="1:12">
      <c r="A43" s="163"/>
      <c r="B43" s="163"/>
      <c r="C43" s="163"/>
      <c r="D43" s="166"/>
      <c r="E43" s="163"/>
      <c r="F43" s="168" t="s">
        <v>15</v>
      </c>
      <c r="G43" s="169"/>
      <c r="H43" s="170"/>
      <c r="I43" s="168" t="s">
        <v>16</v>
      </c>
      <c r="J43" s="169"/>
      <c r="K43" s="170"/>
      <c r="L43" s="160"/>
    </row>
    <row r="44" spans="1:12">
      <c r="A44" s="164"/>
      <c r="B44" s="164"/>
      <c r="C44" s="164"/>
      <c r="D44" s="167"/>
      <c r="E44" s="164"/>
      <c r="F44" s="85" t="s">
        <v>36</v>
      </c>
      <c r="G44" s="77" t="s">
        <v>37</v>
      </c>
      <c r="H44" s="85" t="s">
        <v>38</v>
      </c>
      <c r="I44" s="85" t="s">
        <v>36</v>
      </c>
      <c r="J44" s="115" t="s">
        <v>37</v>
      </c>
      <c r="K44" s="85" t="s">
        <v>38</v>
      </c>
      <c r="L44" s="161"/>
    </row>
    <row r="45" spans="1:12">
      <c r="A45" s="151" t="s">
        <v>365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3"/>
    </row>
    <row r="46" spans="1:12" ht="41.4">
      <c r="A46" s="116" t="s">
        <v>407</v>
      </c>
      <c r="B46" s="117" t="s">
        <v>408</v>
      </c>
      <c r="C46" s="117" t="s">
        <v>409</v>
      </c>
      <c r="D46" s="117" t="s">
        <v>410</v>
      </c>
      <c r="E46" s="117" t="s">
        <v>410</v>
      </c>
      <c r="F46" s="72" t="s">
        <v>2</v>
      </c>
      <c r="G46" s="140" t="s">
        <v>582</v>
      </c>
      <c r="H46" s="72" t="s">
        <v>56</v>
      </c>
      <c r="I46" s="72" t="s">
        <v>2</v>
      </c>
      <c r="J46" s="140" t="s">
        <v>583</v>
      </c>
      <c r="K46" s="72" t="s">
        <v>57</v>
      </c>
      <c r="L46" s="69"/>
    </row>
    <row r="47" spans="1:12" ht="55.2">
      <c r="A47" s="116" t="s">
        <v>411</v>
      </c>
      <c r="B47" s="117" t="s">
        <v>412</v>
      </c>
      <c r="C47" s="117" t="s">
        <v>413</v>
      </c>
      <c r="D47" s="117" t="s">
        <v>414</v>
      </c>
      <c r="E47" s="117" t="s">
        <v>414</v>
      </c>
      <c r="F47" s="72" t="s">
        <v>2</v>
      </c>
      <c r="G47" s="134" t="s">
        <v>582</v>
      </c>
      <c r="H47" s="72" t="s">
        <v>56</v>
      </c>
      <c r="I47" s="72" t="s">
        <v>2</v>
      </c>
      <c r="J47" s="134" t="s">
        <v>583</v>
      </c>
      <c r="K47" s="72" t="s">
        <v>57</v>
      </c>
      <c r="L47" s="69"/>
    </row>
    <row r="48" spans="1:12" ht="55.2">
      <c r="A48" s="116" t="s">
        <v>415</v>
      </c>
      <c r="B48" s="117" t="s">
        <v>416</v>
      </c>
      <c r="C48" s="117" t="s">
        <v>417</v>
      </c>
      <c r="D48" s="117" t="s">
        <v>418</v>
      </c>
      <c r="E48" s="117" t="s">
        <v>418</v>
      </c>
      <c r="F48" s="72" t="s">
        <v>2</v>
      </c>
      <c r="G48" s="134" t="s">
        <v>582</v>
      </c>
      <c r="H48" s="72" t="s">
        <v>56</v>
      </c>
      <c r="I48" s="72" t="s">
        <v>2</v>
      </c>
      <c r="J48" s="134" t="s">
        <v>583</v>
      </c>
      <c r="K48" s="72" t="s">
        <v>57</v>
      </c>
      <c r="L48" s="69"/>
    </row>
    <row r="49" spans="1:12" ht="41.4">
      <c r="A49" s="116" t="s">
        <v>419</v>
      </c>
      <c r="B49" s="117" t="s">
        <v>420</v>
      </c>
      <c r="C49" s="117" t="s">
        <v>421</v>
      </c>
      <c r="D49" s="117" t="s">
        <v>422</v>
      </c>
      <c r="E49" s="117" t="s">
        <v>422</v>
      </c>
      <c r="F49" s="72" t="s">
        <v>2</v>
      </c>
      <c r="G49" s="134" t="s">
        <v>582</v>
      </c>
      <c r="H49" s="72" t="s">
        <v>56</v>
      </c>
      <c r="I49" s="72" t="s">
        <v>2</v>
      </c>
      <c r="J49" s="134" t="s">
        <v>583</v>
      </c>
      <c r="K49" s="72" t="s">
        <v>57</v>
      </c>
      <c r="L49" s="69"/>
    </row>
    <row r="50" spans="1:12" ht="41.4">
      <c r="A50" s="116" t="s">
        <v>423</v>
      </c>
      <c r="B50" s="117" t="s">
        <v>424</v>
      </c>
      <c r="C50" s="117" t="s">
        <v>425</v>
      </c>
      <c r="D50" s="117" t="s">
        <v>426</v>
      </c>
      <c r="E50" s="117" t="s">
        <v>426</v>
      </c>
      <c r="F50" s="72" t="s">
        <v>2</v>
      </c>
      <c r="G50" s="134" t="s">
        <v>582</v>
      </c>
      <c r="H50" s="72" t="s">
        <v>56</v>
      </c>
      <c r="I50" s="72" t="s">
        <v>2</v>
      </c>
      <c r="J50" s="134" t="s">
        <v>583</v>
      </c>
      <c r="K50" s="72" t="s">
        <v>57</v>
      </c>
      <c r="L50" s="69"/>
    </row>
    <row r="51" spans="1:12" ht="41.4">
      <c r="A51" s="116" t="s">
        <v>427</v>
      </c>
      <c r="B51" s="117" t="s">
        <v>428</v>
      </c>
      <c r="C51" s="117" t="s">
        <v>429</v>
      </c>
      <c r="D51" s="117" t="s">
        <v>444</v>
      </c>
      <c r="E51" s="117" t="s">
        <v>444</v>
      </c>
      <c r="F51" s="72" t="s">
        <v>2</v>
      </c>
      <c r="G51" s="134" t="s">
        <v>582</v>
      </c>
      <c r="H51" s="72" t="s">
        <v>56</v>
      </c>
      <c r="I51" s="72" t="s">
        <v>2</v>
      </c>
      <c r="J51" s="134" t="s">
        <v>583</v>
      </c>
      <c r="K51" s="72" t="s">
        <v>57</v>
      </c>
      <c r="L51" s="69"/>
    </row>
    <row r="52" spans="1:12" ht="41.4">
      <c r="A52" s="116" t="s">
        <v>430</v>
      </c>
      <c r="B52" s="117" t="s">
        <v>431</v>
      </c>
      <c r="C52" s="117" t="s">
        <v>432</v>
      </c>
      <c r="D52" s="117" t="s">
        <v>445</v>
      </c>
      <c r="E52" s="117" t="s">
        <v>445</v>
      </c>
      <c r="F52" s="72" t="s">
        <v>2</v>
      </c>
      <c r="G52" s="134" t="s">
        <v>582</v>
      </c>
      <c r="H52" s="72" t="s">
        <v>56</v>
      </c>
      <c r="I52" s="72" t="s">
        <v>2</v>
      </c>
      <c r="J52" s="134" t="s">
        <v>583</v>
      </c>
      <c r="K52" s="72" t="s">
        <v>57</v>
      </c>
      <c r="L52" s="69"/>
    </row>
    <row r="53" spans="1:12" ht="41.4">
      <c r="A53" s="116" t="s">
        <v>433</v>
      </c>
      <c r="B53" s="117" t="s">
        <v>434</v>
      </c>
      <c r="C53" s="117" t="s">
        <v>435</v>
      </c>
      <c r="D53" s="117" t="s">
        <v>446</v>
      </c>
      <c r="E53" s="117" t="s">
        <v>446</v>
      </c>
      <c r="F53" s="72" t="s">
        <v>2</v>
      </c>
      <c r="G53" s="134" t="s">
        <v>582</v>
      </c>
      <c r="H53" s="72" t="s">
        <v>56</v>
      </c>
      <c r="I53" s="72" t="s">
        <v>2</v>
      </c>
      <c r="J53" s="134" t="s">
        <v>583</v>
      </c>
      <c r="K53" s="72" t="s">
        <v>57</v>
      </c>
      <c r="L53" s="69"/>
    </row>
    <row r="54" spans="1:12" ht="41.4">
      <c r="A54" s="116" t="s">
        <v>436</v>
      </c>
      <c r="B54" s="117" t="s">
        <v>437</v>
      </c>
      <c r="C54" s="117" t="s">
        <v>438</v>
      </c>
      <c r="D54" s="117" t="s">
        <v>439</v>
      </c>
      <c r="E54" s="117" t="s">
        <v>439</v>
      </c>
      <c r="F54" s="72" t="s">
        <v>2</v>
      </c>
      <c r="G54" s="134" t="s">
        <v>582</v>
      </c>
      <c r="H54" s="72" t="s">
        <v>56</v>
      </c>
      <c r="I54" s="72" t="s">
        <v>2</v>
      </c>
      <c r="J54" s="134" t="s">
        <v>583</v>
      </c>
      <c r="K54" s="72" t="s">
        <v>57</v>
      </c>
      <c r="L54" s="69"/>
    </row>
    <row r="55" spans="1:12" ht="41.4">
      <c r="A55" s="116" t="s">
        <v>440</v>
      </c>
      <c r="B55" s="117" t="s">
        <v>441</v>
      </c>
      <c r="C55" s="117" t="s">
        <v>442</v>
      </c>
      <c r="D55" s="117" t="s">
        <v>443</v>
      </c>
      <c r="E55" s="117" t="s">
        <v>443</v>
      </c>
      <c r="F55" s="72" t="s">
        <v>2</v>
      </c>
      <c r="G55" s="134" t="s">
        <v>582</v>
      </c>
      <c r="H55" s="72" t="s">
        <v>56</v>
      </c>
      <c r="I55" s="72" t="s">
        <v>2</v>
      </c>
      <c r="J55" s="134" t="s">
        <v>583</v>
      </c>
      <c r="K55" s="72" t="s">
        <v>57</v>
      </c>
      <c r="L55" s="69"/>
    </row>
    <row r="56" spans="1:12">
      <c r="A56" s="179" t="s">
        <v>366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1"/>
    </row>
    <row r="57" spans="1:12" ht="67.2">
      <c r="A57" s="114" t="s">
        <v>367</v>
      </c>
      <c r="B57" s="106" t="s">
        <v>368</v>
      </c>
      <c r="C57" s="106" t="s">
        <v>403</v>
      </c>
      <c r="D57" s="106" t="s">
        <v>369</v>
      </c>
      <c r="E57" s="106" t="s">
        <v>369</v>
      </c>
      <c r="F57" s="72" t="s">
        <v>2</v>
      </c>
      <c r="G57" s="134" t="s">
        <v>582</v>
      </c>
      <c r="H57" s="72" t="s">
        <v>56</v>
      </c>
      <c r="I57" s="72" t="s">
        <v>2</v>
      </c>
      <c r="J57" s="134" t="s">
        <v>583</v>
      </c>
      <c r="K57" s="72" t="s">
        <v>57</v>
      </c>
      <c r="L57" s="69"/>
    </row>
    <row r="58" spans="1:12" ht="50.4">
      <c r="A58" s="114" t="s">
        <v>370</v>
      </c>
      <c r="B58" s="106" t="s">
        <v>371</v>
      </c>
      <c r="C58" s="106" t="s">
        <v>372</v>
      </c>
      <c r="D58" s="106" t="s">
        <v>373</v>
      </c>
      <c r="E58" s="106" t="s">
        <v>373</v>
      </c>
      <c r="F58" s="72" t="s">
        <v>2</v>
      </c>
      <c r="G58" s="134" t="s">
        <v>582</v>
      </c>
      <c r="H58" s="72" t="s">
        <v>56</v>
      </c>
      <c r="I58" s="72" t="s">
        <v>2</v>
      </c>
      <c r="J58" s="134" t="s">
        <v>583</v>
      </c>
      <c r="K58" s="72" t="s">
        <v>57</v>
      </c>
      <c r="L58" s="69"/>
    </row>
    <row r="59" spans="1:12" ht="50.4">
      <c r="A59" s="114" t="s">
        <v>374</v>
      </c>
      <c r="B59" s="106" t="s">
        <v>375</v>
      </c>
      <c r="C59" s="106" t="s">
        <v>376</v>
      </c>
      <c r="D59" s="106" t="s">
        <v>377</v>
      </c>
      <c r="E59" s="106" t="s">
        <v>377</v>
      </c>
      <c r="F59" s="72" t="s">
        <v>2</v>
      </c>
      <c r="G59" s="134" t="s">
        <v>582</v>
      </c>
      <c r="H59" s="72" t="s">
        <v>56</v>
      </c>
      <c r="I59" s="72" t="s">
        <v>2</v>
      </c>
      <c r="J59" s="134" t="s">
        <v>583</v>
      </c>
      <c r="K59" s="72" t="s">
        <v>57</v>
      </c>
      <c r="L59" s="69"/>
    </row>
    <row r="60" spans="1:12" ht="50.4">
      <c r="A60" s="114" t="s">
        <v>378</v>
      </c>
      <c r="B60" s="106" t="s">
        <v>379</v>
      </c>
      <c r="C60" s="106" t="s">
        <v>380</v>
      </c>
      <c r="D60" s="106" t="s">
        <v>381</v>
      </c>
      <c r="E60" s="106" t="s">
        <v>381</v>
      </c>
      <c r="F60" s="72" t="s">
        <v>2</v>
      </c>
      <c r="G60" s="134" t="s">
        <v>582</v>
      </c>
      <c r="H60" s="72" t="s">
        <v>56</v>
      </c>
      <c r="I60" s="72" t="s">
        <v>2</v>
      </c>
      <c r="J60" s="134" t="s">
        <v>583</v>
      </c>
      <c r="K60" s="72" t="s">
        <v>57</v>
      </c>
      <c r="L60" s="69"/>
    </row>
    <row r="61" spans="1:12" ht="67.2">
      <c r="A61" s="114" t="s">
        <v>382</v>
      </c>
      <c r="B61" s="106" t="s">
        <v>383</v>
      </c>
      <c r="C61" s="106" t="s">
        <v>384</v>
      </c>
      <c r="D61" s="106" t="s">
        <v>385</v>
      </c>
      <c r="E61" s="106" t="s">
        <v>385</v>
      </c>
      <c r="F61" s="72" t="s">
        <v>2</v>
      </c>
      <c r="G61" s="134" t="s">
        <v>582</v>
      </c>
      <c r="H61" s="72" t="s">
        <v>56</v>
      </c>
      <c r="I61" s="72" t="s">
        <v>2</v>
      </c>
      <c r="J61" s="134" t="s">
        <v>583</v>
      </c>
      <c r="K61" s="72" t="s">
        <v>57</v>
      </c>
      <c r="L61" s="69"/>
    </row>
    <row r="62" spans="1:12" ht="117.6">
      <c r="A62" s="114" t="s">
        <v>386</v>
      </c>
      <c r="B62" s="106" t="s">
        <v>387</v>
      </c>
      <c r="C62" s="106" t="s">
        <v>388</v>
      </c>
      <c r="D62" s="106" t="s">
        <v>389</v>
      </c>
      <c r="E62" s="106" t="s">
        <v>389</v>
      </c>
      <c r="F62" s="72" t="s">
        <v>2</v>
      </c>
      <c r="G62" s="134" t="s">
        <v>582</v>
      </c>
      <c r="H62" s="72" t="s">
        <v>56</v>
      </c>
      <c r="I62" s="72" t="s">
        <v>2</v>
      </c>
      <c r="J62" s="134" t="s">
        <v>583</v>
      </c>
      <c r="K62" s="72" t="s">
        <v>57</v>
      </c>
      <c r="L62" s="69"/>
    </row>
    <row r="63" spans="1:12" ht="67.2">
      <c r="A63" s="114" t="s">
        <v>390</v>
      </c>
      <c r="B63" s="106" t="s">
        <v>391</v>
      </c>
      <c r="C63" s="106" t="s">
        <v>404</v>
      </c>
      <c r="D63" s="106" t="s">
        <v>392</v>
      </c>
      <c r="E63" s="106" t="s">
        <v>392</v>
      </c>
      <c r="F63" s="72" t="s">
        <v>2</v>
      </c>
      <c r="G63" s="134" t="s">
        <v>582</v>
      </c>
      <c r="H63" s="72" t="s">
        <v>56</v>
      </c>
      <c r="I63" s="72" t="s">
        <v>2</v>
      </c>
      <c r="J63" s="134" t="s">
        <v>583</v>
      </c>
      <c r="K63" s="72" t="s">
        <v>57</v>
      </c>
      <c r="L63" s="69"/>
    </row>
    <row r="64" spans="1:12" ht="67.2">
      <c r="A64" s="114" t="s">
        <v>393</v>
      </c>
      <c r="B64" s="106" t="s">
        <v>394</v>
      </c>
      <c r="C64" s="106" t="s">
        <v>405</v>
      </c>
      <c r="D64" s="106" t="s">
        <v>395</v>
      </c>
      <c r="E64" s="106" t="s">
        <v>395</v>
      </c>
      <c r="F64" s="72" t="s">
        <v>2</v>
      </c>
      <c r="G64" s="134" t="s">
        <v>582</v>
      </c>
      <c r="H64" s="72" t="s">
        <v>56</v>
      </c>
      <c r="I64" s="72" t="s">
        <v>2</v>
      </c>
      <c r="J64" s="134" t="s">
        <v>583</v>
      </c>
      <c r="K64" s="72" t="s">
        <v>57</v>
      </c>
      <c r="L64" s="69"/>
    </row>
    <row r="65" spans="1:12" ht="50.4">
      <c r="A65" s="114" t="s">
        <v>396</v>
      </c>
      <c r="B65" s="106" t="s">
        <v>397</v>
      </c>
      <c r="C65" s="106" t="s">
        <v>398</v>
      </c>
      <c r="D65" s="106" t="s">
        <v>406</v>
      </c>
      <c r="E65" s="106" t="s">
        <v>406</v>
      </c>
      <c r="F65" s="72" t="s">
        <v>2</v>
      </c>
      <c r="G65" s="134" t="s">
        <v>582</v>
      </c>
      <c r="H65" s="72" t="s">
        <v>56</v>
      </c>
      <c r="I65" s="72" t="s">
        <v>2</v>
      </c>
      <c r="J65" s="134" t="s">
        <v>583</v>
      </c>
      <c r="K65" s="72" t="s">
        <v>57</v>
      </c>
      <c r="L65" s="69"/>
    </row>
    <row r="66" spans="1:12" ht="50.4">
      <c r="A66" s="114" t="s">
        <v>399</v>
      </c>
      <c r="B66" s="106" t="s">
        <v>400</v>
      </c>
      <c r="C66" s="106" t="s">
        <v>401</v>
      </c>
      <c r="D66" s="106" t="s">
        <v>402</v>
      </c>
      <c r="E66" s="106" t="s">
        <v>402</v>
      </c>
      <c r="F66" s="72" t="s">
        <v>2</v>
      </c>
      <c r="G66" s="134" t="s">
        <v>582</v>
      </c>
      <c r="H66" s="72" t="s">
        <v>56</v>
      </c>
      <c r="I66" s="72" t="s">
        <v>2</v>
      </c>
      <c r="J66" s="134" t="s">
        <v>583</v>
      </c>
      <c r="K66" s="72" t="s">
        <v>57</v>
      </c>
      <c r="L66" s="69"/>
    </row>
  </sheetData>
  <mergeCells count="13">
    <mergeCell ref="B1:F1"/>
    <mergeCell ref="B2:F2"/>
    <mergeCell ref="A42:A44"/>
    <mergeCell ref="B42:B44"/>
    <mergeCell ref="C42:C44"/>
    <mergeCell ref="D42:D44"/>
    <mergeCell ref="E42:E44"/>
    <mergeCell ref="F42:K42"/>
    <mergeCell ref="L42:L44"/>
    <mergeCell ref="F43:H43"/>
    <mergeCell ref="I43:K43"/>
    <mergeCell ref="A45:L45"/>
    <mergeCell ref="A56:L56"/>
  </mergeCells>
  <phoneticPr fontId="19" type="noConversion"/>
  <dataValidations count="1">
    <dataValidation type="list" operator="equal" allowBlank="1" showErrorMessage="1" promptTitle="dfdf" sqref="I57:I66 F46:F55 F57:F66 I46:I55" xr:uid="{00000000-0002-0000-05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tabSelected="1" zoomScale="55" zoomScaleNormal="55" workbookViewId="0">
      <selection activeCell="J51" sqref="J51"/>
    </sheetView>
  </sheetViews>
  <sheetFormatPr defaultColWidth="8.88671875" defaultRowHeight="16.8"/>
  <cols>
    <col min="1" max="1" width="35.6640625" style="8" bestFit="1" customWidth="1"/>
    <col min="2" max="2" width="57.33203125" style="8" bestFit="1" customWidth="1"/>
    <col min="3" max="3" width="67.44140625" style="8" bestFit="1" customWidth="1"/>
    <col min="4" max="4" width="63.33203125" style="8" bestFit="1" customWidth="1"/>
    <col min="5" max="5" width="45.33203125" style="8" bestFit="1" customWidth="1"/>
    <col min="6" max="6" width="20" style="8" bestFit="1" customWidth="1"/>
    <col min="7" max="7" width="15.88671875" style="133" customWidth="1"/>
    <col min="8" max="8" width="17" style="8" bestFit="1" customWidth="1"/>
    <col min="9" max="9" width="12.109375" style="8" bestFit="1" customWidth="1"/>
    <col min="10" max="10" width="15.88671875" style="133" bestFit="1" customWidth="1"/>
    <col min="11" max="11" width="17" style="8" bestFit="1" customWidth="1"/>
    <col min="12" max="12" width="10.6640625" style="8" bestFit="1" customWidth="1"/>
    <col min="13" max="16384" width="8.88671875" style="8"/>
  </cols>
  <sheetData>
    <row r="1" spans="1:6">
      <c r="A1" s="78" t="s">
        <v>0</v>
      </c>
      <c r="B1" s="155" t="s">
        <v>58</v>
      </c>
      <c r="C1" s="155"/>
      <c r="D1" s="155"/>
      <c r="E1" s="155"/>
      <c r="F1" s="155"/>
    </row>
    <row r="2" spans="1:6">
      <c r="A2" s="78" t="s">
        <v>5</v>
      </c>
      <c r="B2" s="156" t="s">
        <v>71</v>
      </c>
      <c r="C2" s="156"/>
      <c r="D2" s="156"/>
      <c r="E2" s="156"/>
      <c r="F2" s="156"/>
    </row>
    <row r="3" spans="1:6">
      <c r="A3" s="69"/>
      <c r="B3" s="79" t="s">
        <v>23</v>
      </c>
      <c r="C3" s="79" t="s">
        <v>24</v>
      </c>
      <c r="D3" s="79" t="s">
        <v>33</v>
      </c>
      <c r="E3" s="80" t="s">
        <v>25</v>
      </c>
      <c r="F3" s="79" t="s">
        <v>43</v>
      </c>
    </row>
    <row r="4" spans="1:6">
      <c r="A4" s="70" t="s">
        <v>3</v>
      </c>
      <c r="B4" s="69">
        <v>20</v>
      </c>
      <c r="C4" s="69">
        <v>0</v>
      </c>
      <c r="D4" s="69">
        <v>0</v>
      </c>
      <c r="E4" s="69">
        <v>0</v>
      </c>
      <c r="F4" s="69">
        <v>20</v>
      </c>
    </row>
    <row r="5" spans="1:6">
      <c r="A5" s="70" t="s">
        <v>4</v>
      </c>
      <c r="B5" s="69">
        <v>20</v>
      </c>
      <c r="C5" s="69">
        <v>0</v>
      </c>
      <c r="D5" s="69">
        <v>0</v>
      </c>
      <c r="E5" s="69">
        <v>0</v>
      </c>
      <c r="F5" s="69">
        <v>20</v>
      </c>
    </row>
    <row r="6" spans="1:6">
      <c r="A6"/>
    </row>
    <row r="32" spans="1:12">
      <c r="A32" s="157" t="s">
        <v>6</v>
      </c>
      <c r="B32" s="157" t="s">
        <v>12</v>
      </c>
      <c r="C32" s="157" t="s">
        <v>40</v>
      </c>
      <c r="D32" s="158" t="s">
        <v>41</v>
      </c>
      <c r="E32" s="157" t="s">
        <v>42</v>
      </c>
      <c r="F32" s="171" t="s">
        <v>34</v>
      </c>
      <c r="G32" s="171"/>
      <c r="H32" s="171"/>
      <c r="I32" s="171"/>
      <c r="J32" s="171"/>
      <c r="K32" s="171"/>
      <c r="L32" s="171" t="s">
        <v>35</v>
      </c>
    </row>
    <row r="33" spans="1:13">
      <c r="A33" s="157"/>
      <c r="B33" s="157"/>
      <c r="C33" s="157"/>
      <c r="D33" s="158"/>
      <c r="E33" s="157"/>
      <c r="F33" s="171" t="s">
        <v>15</v>
      </c>
      <c r="G33" s="171"/>
      <c r="H33" s="171"/>
      <c r="I33" s="171" t="s">
        <v>16</v>
      </c>
      <c r="J33" s="171"/>
      <c r="K33" s="171"/>
      <c r="L33" s="171"/>
      <c r="M33" s="107"/>
    </row>
    <row r="34" spans="1:13">
      <c r="A34" s="157"/>
      <c r="B34" s="157"/>
      <c r="C34" s="157"/>
      <c r="D34" s="158"/>
      <c r="E34" s="157"/>
      <c r="F34" s="85" t="s">
        <v>36</v>
      </c>
      <c r="G34" s="77" t="s">
        <v>37</v>
      </c>
      <c r="H34" s="85" t="s">
        <v>38</v>
      </c>
      <c r="I34" s="85" t="s">
        <v>36</v>
      </c>
      <c r="J34" s="115" t="s">
        <v>37</v>
      </c>
      <c r="K34" s="85" t="s">
        <v>38</v>
      </c>
      <c r="L34" s="171"/>
      <c r="M34" s="107"/>
    </row>
    <row r="35" spans="1:13">
      <c r="A35" s="151" t="s">
        <v>447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3"/>
    </row>
    <row r="36" spans="1:13" ht="33.6">
      <c r="A36" s="114" t="s">
        <v>449</v>
      </c>
      <c r="B36" s="106" t="s">
        <v>450</v>
      </c>
      <c r="C36" s="106" t="s">
        <v>409</v>
      </c>
      <c r="D36" s="106" t="s">
        <v>451</v>
      </c>
      <c r="E36" s="106" t="s">
        <v>452</v>
      </c>
      <c r="F36" s="72" t="s">
        <v>2</v>
      </c>
      <c r="G36" s="140" t="s">
        <v>585</v>
      </c>
      <c r="H36" s="72" t="s">
        <v>56</v>
      </c>
      <c r="I36" s="72" t="s">
        <v>2</v>
      </c>
      <c r="J36" s="140" t="s">
        <v>584</v>
      </c>
      <c r="K36" s="72" t="s">
        <v>60</v>
      </c>
      <c r="L36" s="69"/>
    </row>
    <row r="37" spans="1:13">
      <c r="A37" s="114" t="s">
        <v>453</v>
      </c>
      <c r="B37" s="106" t="s">
        <v>454</v>
      </c>
      <c r="C37" s="106" t="s">
        <v>413</v>
      </c>
      <c r="D37" s="106" t="s">
        <v>488</v>
      </c>
      <c r="E37" s="106" t="s">
        <v>455</v>
      </c>
      <c r="F37" s="72" t="s">
        <v>2</v>
      </c>
      <c r="G37" s="134" t="s">
        <v>585</v>
      </c>
      <c r="H37" s="72" t="s">
        <v>56</v>
      </c>
      <c r="I37" s="72" t="s">
        <v>2</v>
      </c>
      <c r="J37" s="134" t="s">
        <v>584</v>
      </c>
      <c r="K37" s="72" t="s">
        <v>60</v>
      </c>
      <c r="L37" s="118"/>
    </row>
    <row r="38" spans="1:13">
      <c r="A38" s="114" t="s">
        <v>456</v>
      </c>
      <c r="B38" s="106" t="s">
        <v>457</v>
      </c>
      <c r="C38" s="106" t="s">
        <v>417</v>
      </c>
      <c r="D38" s="106" t="s">
        <v>458</v>
      </c>
      <c r="E38" s="106" t="s">
        <v>459</v>
      </c>
      <c r="F38" s="72" t="s">
        <v>2</v>
      </c>
      <c r="G38" s="134" t="s">
        <v>585</v>
      </c>
      <c r="H38" s="72" t="s">
        <v>56</v>
      </c>
      <c r="I38" s="72" t="s">
        <v>2</v>
      </c>
      <c r="J38" s="134" t="s">
        <v>584</v>
      </c>
      <c r="K38" s="72" t="s">
        <v>60</v>
      </c>
      <c r="L38" s="69"/>
    </row>
    <row r="39" spans="1:13">
      <c r="A39" s="114" t="s">
        <v>460</v>
      </c>
      <c r="B39" s="106" t="s">
        <v>461</v>
      </c>
      <c r="C39" s="106" t="s">
        <v>462</v>
      </c>
      <c r="D39" s="106" t="s">
        <v>463</v>
      </c>
      <c r="E39" s="106" t="s">
        <v>459</v>
      </c>
      <c r="F39" s="72" t="s">
        <v>2</v>
      </c>
      <c r="G39" s="134" t="s">
        <v>585</v>
      </c>
      <c r="H39" s="72" t="s">
        <v>56</v>
      </c>
      <c r="I39" s="72" t="s">
        <v>2</v>
      </c>
      <c r="J39" s="134" t="s">
        <v>584</v>
      </c>
      <c r="K39" s="72" t="s">
        <v>60</v>
      </c>
      <c r="L39" s="118"/>
    </row>
    <row r="40" spans="1:13">
      <c r="A40" s="114" t="s">
        <v>464</v>
      </c>
      <c r="B40" s="106" t="s">
        <v>424</v>
      </c>
      <c r="C40" s="106" t="s">
        <v>465</v>
      </c>
      <c r="D40" s="106" t="s">
        <v>466</v>
      </c>
      <c r="E40" s="106" t="s">
        <v>467</v>
      </c>
      <c r="F40" s="72" t="s">
        <v>2</v>
      </c>
      <c r="G40" s="134" t="s">
        <v>585</v>
      </c>
      <c r="H40" s="72" t="s">
        <v>56</v>
      </c>
      <c r="I40" s="72" t="s">
        <v>2</v>
      </c>
      <c r="J40" s="134" t="s">
        <v>584</v>
      </c>
      <c r="K40" s="72" t="s">
        <v>60</v>
      </c>
      <c r="L40" s="69"/>
    </row>
    <row r="41" spans="1:13" ht="33.6">
      <c r="A41" s="114" t="s">
        <v>468</v>
      </c>
      <c r="B41" s="106" t="s">
        <v>469</v>
      </c>
      <c r="C41" s="106" t="s">
        <v>470</v>
      </c>
      <c r="D41" s="106" t="s">
        <v>471</v>
      </c>
      <c r="E41" s="106" t="s">
        <v>455</v>
      </c>
      <c r="F41" s="72" t="s">
        <v>2</v>
      </c>
      <c r="G41" s="134" t="s">
        <v>585</v>
      </c>
      <c r="H41" s="72" t="s">
        <v>56</v>
      </c>
      <c r="I41" s="72" t="s">
        <v>2</v>
      </c>
      <c r="J41" s="134" t="s">
        <v>584</v>
      </c>
      <c r="K41" s="72" t="s">
        <v>60</v>
      </c>
      <c r="L41" s="118"/>
    </row>
    <row r="42" spans="1:13">
      <c r="A42" s="114" t="s">
        <v>472</v>
      </c>
      <c r="B42" s="106" t="s">
        <v>473</v>
      </c>
      <c r="C42" s="106" t="s">
        <v>474</v>
      </c>
      <c r="D42" s="106" t="s">
        <v>475</v>
      </c>
      <c r="E42" s="106" t="s">
        <v>459</v>
      </c>
      <c r="F42" s="72" t="s">
        <v>2</v>
      </c>
      <c r="G42" s="134" t="s">
        <v>585</v>
      </c>
      <c r="H42" s="72" t="s">
        <v>56</v>
      </c>
      <c r="I42" s="72" t="s">
        <v>2</v>
      </c>
      <c r="J42" s="134" t="s">
        <v>584</v>
      </c>
      <c r="K42" s="72" t="s">
        <v>60</v>
      </c>
      <c r="L42" s="69"/>
    </row>
    <row r="43" spans="1:13">
      <c r="A43" s="114" t="s">
        <v>476</v>
      </c>
      <c r="B43" s="106" t="s">
        <v>477</v>
      </c>
      <c r="C43" s="106" t="s">
        <v>478</v>
      </c>
      <c r="D43" s="106" t="s">
        <v>479</v>
      </c>
      <c r="E43" s="106" t="s">
        <v>459</v>
      </c>
      <c r="F43" s="72" t="s">
        <v>2</v>
      </c>
      <c r="G43" s="134" t="s">
        <v>585</v>
      </c>
      <c r="H43" s="72" t="s">
        <v>56</v>
      </c>
      <c r="I43" s="72" t="s">
        <v>2</v>
      </c>
      <c r="J43" s="134" t="s">
        <v>584</v>
      </c>
      <c r="K43" s="72" t="s">
        <v>60</v>
      </c>
      <c r="L43" s="118"/>
    </row>
    <row r="44" spans="1:13" ht="33.6">
      <c r="A44" s="114" t="s">
        <v>480</v>
      </c>
      <c r="B44" s="106" t="s">
        <v>481</v>
      </c>
      <c r="C44" s="106" t="s">
        <v>482</v>
      </c>
      <c r="D44" s="106" t="s">
        <v>483</v>
      </c>
      <c r="E44" s="106" t="s">
        <v>459</v>
      </c>
      <c r="F44" s="72" t="s">
        <v>2</v>
      </c>
      <c r="G44" s="134" t="s">
        <v>585</v>
      </c>
      <c r="H44" s="72" t="s">
        <v>56</v>
      </c>
      <c r="I44" s="72" t="s">
        <v>2</v>
      </c>
      <c r="J44" s="134" t="s">
        <v>584</v>
      </c>
      <c r="K44" s="72" t="s">
        <v>60</v>
      </c>
      <c r="L44" s="69"/>
    </row>
    <row r="45" spans="1:13" ht="33.6">
      <c r="A45" s="114" t="s">
        <v>484</v>
      </c>
      <c r="B45" s="106" t="s">
        <v>485</v>
      </c>
      <c r="C45" s="106" t="s">
        <v>486</v>
      </c>
      <c r="D45" s="106" t="s">
        <v>487</v>
      </c>
      <c r="E45" s="106" t="s">
        <v>459</v>
      </c>
      <c r="F45" s="72" t="s">
        <v>2</v>
      </c>
      <c r="G45" s="134" t="s">
        <v>585</v>
      </c>
      <c r="H45" s="72" t="s">
        <v>56</v>
      </c>
      <c r="I45" s="72" t="s">
        <v>2</v>
      </c>
      <c r="J45" s="134" t="s">
        <v>584</v>
      </c>
      <c r="K45" s="72" t="s">
        <v>60</v>
      </c>
      <c r="L45" s="118"/>
    </row>
    <row r="46" spans="1:13">
      <c r="A46" s="111" t="s">
        <v>448</v>
      </c>
      <c r="B46" s="112"/>
      <c r="C46" s="112"/>
      <c r="D46" s="112"/>
      <c r="E46" s="112"/>
      <c r="F46" s="112"/>
      <c r="G46" s="141"/>
      <c r="H46" s="112"/>
      <c r="I46" s="112"/>
      <c r="J46" s="141"/>
      <c r="K46" s="112"/>
      <c r="L46" s="113"/>
    </row>
    <row r="47" spans="1:13" ht="33.6">
      <c r="A47" s="114" t="s">
        <v>489</v>
      </c>
      <c r="B47" s="106" t="s">
        <v>490</v>
      </c>
      <c r="C47" s="106" t="s">
        <v>491</v>
      </c>
      <c r="D47" s="106" t="s">
        <v>492</v>
      </c>
      <c r="E47" s="106" t="s">
        <v>459</v>
      </c>
      <c r="F47" s="74" t="s">
        <v>2</v>
      </c>
      <c r="G47" s="134" t="s">
        <v>585</v>
      </c>
      <c r="H47" s="72" t="s">
        <v>56</v>
      </c>
      <c r="I47" s="72" t="s">
        <v>2</v>
      </c>
      <c r="J47" s="134" t="s">
        <v>584</v>
      </c>
      <c r="K47" s="72" t="s">
        <v>60</v>
      </c>
      <c r="L47" s="69"/>
    </row>
    <row r="48" spans="1:13" ht="33.6">
      <c r="A48" s="114" t="s">
        <v>493</v>
      </c>
      <c r="B48" s="106" t="s">
        <v>494</v>
      </c>
      <c r="C48" s="106" t="s">
        <v>413</v>
      </c>
      <c r="D48" s="106" t="s">
        <v>495</v>
      </c>
      <c r="E48" s="106" t="s">
        <v>455</v>
      </c>
      <c r="F48" s="74" t="s">
        <v>2</v>
      </c>
      <c r="G48" s="134" t="s">
        <v>585</v>
      </c>
      <c r="H48" s="72" t="s">
        <v>56</v>
      </c>
      <c r="I48" s="72" t="s">
        <v>2</v>
      </c>
      <c r="J48" s="134" t="s">
        <v>584</v>
      </c>
      <c r="K48" s="72" t="s">
        <v>60</v>
      </c>
      <c r="L48" s="69"/>
    </row>
    <row r="49" spans="1:12" ht="33.6">
      <c r="A49" s="114" t="s">
        <v>496</v>
      </c>
      <c r="B49" s="106" t="s">
        <v>497</v>
      </c>
      <c r="C49" s="106" t="s">
        <v>498</v>
      </c>
      <c r="D49" s="106" t="s">
        <v>499</v>
      </c>
      <c r="E49" s="106" t="s">
        <v>459</v>
      </c>
      <c r="F49" s="74" t="s">
        <v>2</v>
      </c>
      <c r="G49" s="134" t="s">
        <v>585</v>
      </c>
      <c r="H49" s="72" t="s">
        <v>56</v>
      </c>
      <c r="I49" s="72" t="s">
        <v>2</v>
      </c>
      <c r="J49" s="134" t="s">
        <v>584</v>
      </c>
      <c r="K49" s="72" t="s">
        <v>60</v>
      </c>
      <c r="L49" s="69"/>
    </row>
    <row r="50" spans="1:12" ht="33.6">
      <c r="A50" s="114" t="s">
        <v>500</v>
      </c>
      <c r="B50" s="106" t="s">
        <v>501</v>
      </c>
      <c r="C50" s="106" t="s">
        <v>502</v>
      </c>
      <c r="D50" s="106" t="s">
        <v>503</v>
      </c>
      <c r="E50" s="106" t="s">
        <v>459</v>
      </c>
      <c r="F50" s="74" t="s">
        <v>2</v>
      </c>
      <c r="G50" s="134" t="s">
        <v>585</v>
      </c>
      <c r="H50" s="72" t="s">
        <v>56</v>
      </c>
      <c r="I50" s="72" t="s">
        <v>2</v>
      </c>
      <c r="J50" s="134" t="s">
        <v>584</v>
      </c>
      <c r="K50" s="72" t="s">
        <v>60</v>
      </c>
      <c r="L50" s="69"/>
    </row>
    <row r="51" spans="1:12" ht="33.6">
      <c r="A51" s="114" t="s">
        <v>504</v>
      </c>
      <c r="B51" s="106" t="s">
        <v>505</v>
      </c>
      <c r="C51" s="106" t="s">
        <v>506</v>
      </c>
      <c r="D51" s="106" t="s">
        <v>507</v>
      </c>
      <c r="E51" s="106" t="s">
        <v>459</v>
      </c>
      <c r="F51" s="74" t="s">
        <v>2</v>
      </c>
      <c r="G51" s="134" t="s">
        <v>585</v>
      </c>
      <c r="H51" s="72" t="s">
        <v>56</v>
      </c>
      <c r="I51" s="72" t="s">
        <v>2</v>
      </c>
      <c r="J51" s="134" t="s">
        <v>584</v>
      </c>
      <c r="K51" s="72" t="s">
        <v>60</v>
      </c>
      <c r="L51" s="69"/>
    </row>
    <row r="52" spans="1:12">
      <c r="A52" s="114" t="s">
        <v>508</v>
      </c>
      <c r="B52" s="106" t="s">
        <v>509</v>
      </c>
      <c r="C52" s="106" t="s">
        <v>510</v>
      </c>
      <c r="D52" s="106" t="s">
        <v>511</v>
      </c>
      <c r="E52" s="106" t="s">
        <v>459</v>
      </c>
      <c r="F52" s="74" t="s">
        <v>2</v>
      </c>
      <c r="G52" s="134" t="s">
        <v>585</v>
      </c>
      <c r="H52" s="72" t="s">
        <v>56</v>
      </c>
      <c r="I52" s="72" t="s">
        <v>2</v>
      </c>
      <c r="J52" s="134" t="s">
        <v>584</v>
      </c>
      <c r="K52" s="72" t="s">
        <v>60</v>
      </c>
      <c r="L52" s="69"/>
    </row>
    <row r="53" spans="1:12" ht="33.6">
      <c r="A53" s="114" t="s">
        <v>512</v>
      </c>
      <c r="B53" s="106" t="s">
        <v>513</v>
      </c>
      <c r="C53" s="106" t="s">
        <v>514</v>
      </c>
      <c r="D53" s="106" t="s">
        <v>515</v>
      </c>
      <c r="E53" s="106" t="s">
        <v>459</v>
      </c>
      <c r="F53" s="74" t="s">
        <v>2</v>
      </c>
      <c r="G53" s="134" t="s">
        <v>585</v>
      </c>
      <c r="H53" s="72" t="s">
        <v>56</v>
      </c>
      <c r="I53" s="72" t="s">
        <v>2</v>
      </c>
      <c r="J53" s="134" t="s">
        <v>584</v>
      </c>
      <c r="K53" s="72" t="s">
        <v>60</v>
      </c>
      <c r="L53" s="69"/>
    </row>
    <row r="54" spans="1:12">
      <c r="A54" s="114" t="s">
        <v>516</v>
      </c>
      <c r="B54" s="106" t="s">
        <v>517</v>
      </c>
      <c r="C54" s="106" t="s">
        <v>518</v>
      </c>
      <c r="D54" s="106" t="s">
        <v>519</v>
      </c>
      <c r="E54" s="106" t="s">
        <v>459</v>
      </c>
      <c r="F54" s="74" t="s">
        <v>2</v>
      </c>
      <c r="G54" s="134" t="s">
        <v>585</v>
      </c>
      <c r="H54" s="72" t="s">
        <v>56</v>
      </c>
      <c r="I54" s="72" t="s">
        <v>2</v>
      </c>
      <c r="J54" s="134" t="s">
        <v>584</v>
      </c>
      <c r="K54" s="72" t="s">
        <v>60</v>
      </c>
      <c r="L54" s="69"/>
    </row>
    <row r="55" spans="1:12">
      <c r="A55" s="114" t="s">
        <v>520</v>
      </c>
      <c r="B55" s="106" t="s">
        <v>521</v>
      </c>
      <c r="C55" s="106" t="s">
        <v>522</v>
      </c>
      <c r="D55" s="106" t="s">
        <v>523</v>
      </c>
      <c r="E55" s="106" t="s">
        <v>459</v>
      </c>
      <c r="F55" s="74" t="s">
        <v>2</v>
      </c>
      <c r="G55" s="134" t="s">
        <v>585</v>
      </c>
      <c r="H55" s="72" t="s">
        <v>56</v>
      </c>
      <c r="I55" s="72" t="s">
        <v>2</v>
      </c>
      <c r="J55" s="134" t="s">
        <v>584</v>
      </c>
      <c r="K55" s="72" t="s">
        <v>60</v>
      </c>
      <c r="L55" s="69"/>
    </row>
    <row r="56" spans="1:12" ht="33.6">
      <c r="A56" s="114" t="s">
        <v>524</v>
      </c>
      <c r="B56" s="106" t="s">
        <v>525</v>
      </c>
      <c r="C56" s="106" t="s">
        <v>526</v>
      </c>
      <c r="D56" s="106" t="s">
        <v>527</v>
      </c>
      <c r="E56" s="106" t="s">
        <v>459</v>
      </c>
      <c r="F56" s="74" t="s">
        <v>2</v>
      </c>
      <c r="G56" s="134" t="s">
        <v>585</v>
      </c>
      <c r="H56" s="72" t="s">
        <v>56</v>
      </c>
      <c r="I56" s="72" t="s">
        <v>2</v>
      </c>
      <c r="J56" s="134" t="s">
        <v>584</v>
      </c>
      <c r="K56" s="72" t="s">
        <v>60</v>
      </c>
      <c r="L56" s="69"/>
    </row>
  </sheetData>
  <mergeCells count="12">
    <mergeCell ref="L32:L34"/>
    <mergeCell ref="F33:H33"/>
    <mergeCell ref="I33:K33"/>
    <mergeCell ref="A35:L35"/>
    <mergeCell ref="B1:F1"/>
    <mergeCell ref="B2:F2"/>
    <mergeCell ref="A32:A34"/>
    <mergeCell ref="B32:B34"/>
    <mergeCell ref="C32:C34"/>
    <mergeCell ref="D32:D34"/>
    <mergeCell ref="E32:E34"/>
    <mergeCell ref="F32:K32"/>
  </mergeCells>
  <phoneticPr fontId="19" type="noConversion"/>
  <dataValidations count="1">
    <dataValidation type="list" operator="equal" allowBlank="1" showErrorMessage="1" promptTitle="dfdf" sqref="F47:F56 I36:I45 F36:F45 I47:I56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196" t="s">
        <v>28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13" t="s">
        <v>13</v>
      </c>
      <c r="B3" s="197" t="s">
        <v>45</v>
      </c>
      <c r="C3" s="197"/>
      <c r="D3" s="14"/>
      <c r="E3" s="189" t="s">
        <v>7</v>
      </c>
      <c r="F3" s="189"/>
      <c r="G3" s="189"/>
      <c r="H3" s="190" t="s">
        <v>17</v>
      </c>
      <c r="I3" s="191"/>
      <c r="J3" s="191"/>
      <c r="K3" s="192"/>
      <c r="L3" s="15"/>
      <c r="M3" s="15"/>
      <c r="N3" s="15"/>
      <c r="O3" s="15"/>
      <c r="P3" s="15"/>
    </row>
    <row r="4" spans="1:16" s="1" customFormat="1" ht="16.8">
      <c r="A4" s="13"/>
      <c r="B4" s="188"/>
      <c r="C4" s="188"/>
      <c r="D4" s="16"/>
      <c r="E4" s="189" t="s">
        <v>18</v>
      </c>
      <c r="F4" s="189"/>
      <c r="G4" s="189"/>
      <c r="H4" s="193" t="s">
        <v>19</v>
      </c>
      <c r="I4" s="194"/>
      <c r="J4" s="194"/>
      <c r="K4" s="195"/>
      <c r="L4" s="16"/>
      <c r="M4" s="15"/>
      <c r="N4" s="15"/>
      <c r="O4" s="15"/>
      <c r="P4" s="15"/>
    </row>
    <row r="5" spans="1:16" s="1" customFormat="1" ht="16.8">
      <c r="A5" s="13"/>
      <c r="B5" s="188"/>
      <c r="C5" s="188"/>
      <c r="D5" s="16"/>
      <c r="E5" s="189" t="s">
        <v>20</v>
      </c>
      <c r="F5" s="189"/>
      <c r="G5" s="189"/>
      <c r="H5" s="202">
        <v>44114</v>
      </c>
      <c r="I5" s="203"/>
      <c r="J5" s="203"/>
      <c r="K5" s="204"/>
      <c r="L5" s="16"/>
      <c r="M5" s="15"/>
      <c r="N5" s="15"/>
      <c r="O5" s="15"/>
      <c r="P5" s="15"/>
    </row>
    <row r="6" spans="1:16" s="1" customFormat="1" ht="20.25" customHeight="1">
      <c r="A6" s="17" t="s">
        <v>21</v>
      </c>
      <c r="B6" s="200" t="s">
        <v>22</v>
      </c>
      <c r="C6" s="200"/>
      <c r="D6" s="200"/>
      <c r="E6" s="200"/>
      <c r="F6" s="200"/>
      <c r="G6" s="200"/>
      <c r="H6" s="200"/>
      <c r="I6" s="200"/>
      <c r="J6" s="200"/>
      <c r="K6" s="200"/>
      <c r="L6" s="18"/>
      <c r="M6" s="19"/>
      <c r="N6" s="19"/>
      <c r="O6" s="19"/>
      <c r="P6" s="19"/>
    </row>
    <row r="7" spans="1:16" s="1" customFormat="1" ht="20.25" customHeight="1">
      <c r="A7" s="20"/>
      <c r="B7" s="21"/>
      <c r="C7" s="201" t="s">
        <v>23</v>
      </c>
      <c r="D7" s="201"/>
      <c r="E7" s="201" t="s">
        <v>24</v>
      </c>
      <c r="F7" s="201"/>
      <c r="G7" s="201" t="s">
        <v>32</v>
      </c>
      <c r="H7" s="201"/>
      <c r="I7" s="201" t="s">
        <v>25</v>
      </c>
      <c r="J7" s="201"/>
      <c r="K7" s="201" t="s">
        <v>26</v>
      </c>
      <c r="L7" s="201"/>
      <c r="M7" s="198" t="s">
        <v>27</v>
      </c>
      <c r="N7" s="198"/>
      <c r="O7" s="199" t="s">
        <v>44</v>
      </c>
      <c r="P7" s="199"/>
    </row>
    <row r="8" spans="1:16" s="1" customFormat="1" ht="16.8">
      <c r="A8" s="22"/>
      <c r="B8" s="23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198"/>
      <c r="N8" s="198"/>
      <c r="O8" s="199"/>
      <c r="P8" s="199"/>
    </row>
    <row r="9" spans="1:16" s="5" customFormat="1" ht="22.5" customHeight="1">
      <c r="A9" s="24" t="s">
        <v>11</v>
      </c>
      <c r="B9" s="24" t="s">
        <v>14</v>
      </c>
      <c r="C9" s="25" t="s">
        <v>15</v>
      </c>
      <c r="D9" s="25" t="s">
        <v>16</v>
      </c>
      <c r="E9" s="25" t="s">
        <v>15</v>
      </c>
      <c r="F9" s="25" t="s">
        <v>16</v>
      </c>
      <c r="G9" s="25" t="s">
        <v>15</v>
      </c>
      <c r="H9" s="25" t="s">
        <v>16</v>
      </c>
      <c r="I9" s="24" t="s">
        <v>15</v>
      </c>
      <c r="J9" s="25" t="s">
        <v>16</v>
      </c>
      <c r="K9" s="25" t="s">
        <v>15</v>
      </c>
      <c r="L9" s="25" t="s">
        <v>16</v>
      </c>
      <c r="M9" s="25" t="s">
        <v>15</v>
      </c>
      <c r="N9" s="25" t="s">
        <v>16</v>
      </c>
      <c r="O9" s="25" t="s">
        <v>15</v>
      </c>
      <c r="P9" s="25" t="s">
        <v>16</v>
      </c>
    </row>
    <row r="10" spans="1:16" s="1" customFormat="1" ht="31.65" customHeight="1">
      <c r="A10" s="9">
        <v>1</v>
      </c>
      <c r="B10" s="10" t="s">
        <v>39</v>
      </c>
      <c r="C10" s="26">
        <v>15</v>
      </c>
      <c r="D10" s="26">
        <v>15</v>
      </c>
      <c r="E10" s="26">
        <v>0</v>
      </c>
      <c r="F10" s="26">
        <f>'[1]Show Bus Routes List'!C6</f>
        <v>0</v>
      </c>
      <c r="G10" s="26">
        <f>'[1]Show Bus Routes List'!D5</f>
        <v>0</v>
      </c>
      <c r="H10" s="26">
        <f>'[1]Show Bus Routes List'!D6</f>
        <v>0</v>
      </c>
      <c r="I10" s="26">
        <f>'[1]Show Bus Routes List'!E5</f>
        <v>0</v>
      </c>
      <c r="J10" s="26">
        <f>'[1]Show Bus Routes List'!E6</f>
        <v>0</v>
      </c>
      <c r="K10" s="26">
        <v>15</v>
      </c>
      <c r="L10" s="26">
        <v>15</v>
      </c>
      <c r="M10" s="27">
        <f>ROUND(C10*100/K10,1)</f>
        <v>100</v>
      </c>
      <c r="N10" s="27">
        <f t="shared" ref="N10:N20" si="0">ROUND(D10*100/L10,1)</f>
        <v>100</v>
      </c>
      <c r="O10" s="27">
        <f t="shared" ref="O10:P17" si="1">ROUND((C10+E10)*100/K10,1)</f>
        <v>100</v>
      </c>
      <c r="P10" s="28">
        <f t="shared" si="1"/>
        <v>100</v>
      </c>
    </row>
    <row r="11" spans="1:16" s="1" customFormat="1" ht="31.65" customHeight="1">
      <c r="A11" s="62">
        <v>2</v>
      </c>
      <c r="B11" s="10" t="s">
        <v>46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  <c r="N11" s="27"/>
      <c r="O11" s="27"/>
      <c r="P11" s="28"/>
    </row>
    <row r="12" spans="1:16" s="1" customFormat="1" ht="45" customHeight="1">
      <c r="A12" s="9">
        <v>3</v>
      </c>
      <c r="B12" s="10" t="s">
        <v>55</v>
      </c>
      <c r="C12" s="26">
        <v>12</v>
      </c>
      <c r="D12" s="26">
        <v>12</v>
      </c>
      <c r="E12" s="26">
        <v>0</v>
      </c>
      <c r="F12" s="26">
        <f>'[1]Show Bus Stops List'!C6</f>
        <v>0</v>
      </c>
      <c r="G12" s="26">
        <f>'[1]Show Bus Stops List'!D5</f>
        <v>0</v>
      </c>
      <c r="H12" s="26">
        <f>'[1]Show Bus Stops List'!D6</f>
        <v>0</v>
      </c>
      <c r="I12" s="26">
        <f>'[1]Show Bus Stops List'!E5</f>
        <v>0</v>
      </c>
      <c r="J12" s="26">
        <f>'[1]Show Bus Stops List'!E6</f>
        <v>0</v>
      </c>
      <c r="K12" s="26">
        <v>12</v>
      </c>
      <c r="L12" s="26">
        <v>12</v>
      </c>
      <c r="M12" s="27">
        <f t="shared" ref="M12:M20" si="2">ROUND(C12*100/K12,1)</f>
        <v>100</v>
      </c>
      <c r="N12" s="27">
        <f t="shared" si="0"/>
        <v>100</v>
      </c>
      <c r="O12" s="27">
        <f t="shared" si="1"/>
        <v>100</v>
      </c>
      <c r="P12" s="28">
        <f t="shared" si="1"/>
        <v>100</v>
      </c>
    </row>
    <row r="13" spans="1:16" s="1" customFormat="1" ht="45" customHeight="1">
      <c r="A13" s="63">
        <v>4</v>
      </c>
      <c r="B13" s="64" t="s">
        <v>54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66"/>
      <c r="O13" s="66"/>
      <c r="P13" s="67"/>
    </row>
    <row r="14" spans="1:16" s="1" customFormat="1" ht="33.75" customHeight="1">
      <c r="A14" s="11">
        <v>5</v>
      </c>
      <c r="B14" s="12" t="s">
        <v>47</v>
      </c>
      <c r="C14" s="29">
        <v>8</v>
      </c>
      <c r="D14" s="29">
        <v>8</v>
      </c>
      <c r="E14" s="29" t="e">
        <f>#REF!</f>
        <v>#REF!</v>
      </c>
      <c r="F14" s="29" t="e">
        <f>#REF!</f>
        <v>#REF!</v>
      </c>
      <c r="G14" s="29" t="e">
        <f>#REF!</f>
        <v>#REF!</v>
      </c>
      <c r="H14" s="29" t="e">
        <f>#REF!</f>
        <v>#REF!</v>
      </c>
      <c r="I14" s="29" t="e">
        <f>#REF!</f>
        <v>#REF!</v>
      </c>
      <c r="J14" s="29" t="e">
        <f>#REF!</f>
        <v>#REF!</v>
      </c>
      <c r="K14" s="29">
        <v>4</v>
      </c>
      <c r="L14" s="29">
        <v>4</v>
      </c>
      <c r="M14" s="27">
        <f t="shared" si="2"/>
        <v>200</v>
      </c>
      <c r="N14" s="27">
        <f t="shared" si="0"/>
        <v>200</v>
      </c>
      <c r="O14" s="27" t="e">
        <f>ROUND((C14+E14)*100/K14,1)</f>
        <v>#REF!</v>
      </c>
      <c r="P14" s="28" t="e">
        <f t="shared" si="1"/>
        <v>#REF!</v>
      </c>
    </row>
    <row r="15" spans="1:16" s="1" customFormat="1" ht="33.75" customHeight="1">
      <c r="A15" s="63">
        <v>6</v>
      </c>
      <c r="B15" s="64" t="s">
        <v>53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30"/>
      <c r="O15" s="30"/>
      <c r="P15" s="31"/>
    </row>
    <row r="16" spans="1:16" s="1" customFormat="1" ht="42" customHeight="1">
      <c r="A16" s="11">
        <v>7</v>
      </c>
      <c r="B16" s="12" t="s">
        <v>48</v>
      </c>
      <c r="C16" s="29">
        <v>15</v>
      </c>
      <c r="D16" s="29">
        <v>15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15</v>
      </c>
      <c r="L16" s="29">
        <v>15</v>
      </c>
      <c r="M16" s="27">
        <f t="shared" si="2"/>
        <v>100</v>
      </c>
      <c r="N16" s="30">
        <v>100</v>
      </c>
      <c r="O16" s="30">
        <v>100</v>
      </c>
      <c r="P16" s="31">
        <v>100</v>
      </c>
    </row>
    <row r="17" spans="1:16" s="1" customFormat="1" ht="33.75" customHeight="1">
      <c r="A17" s="11">
        <v>8</v>
      </c>
      <c r="B17" s="12" t="s">
        <v>49</v>
      </c>
      <c r="C17" s="29">
        <v>20</v>
      </c>
      <c r="D17" s="29">
        <v>20</v>
      </c>
      <c r="E17" s="29" t="e">
        <f>#REF!</f>
        <v>#REF!</v>
      </c>
      <c r="F17" s="29" t="e">
        <f>#REF!</f>
        <v>#REF!</v>
      </c>
      <c r="G17" s="29" t="e">
        <f>#REF!</f>
        <v>#REF!</v>
      </c>
      <c r="H17" s="29" t="e">
        <f>#REF!</f>
        <v>#REF!</v>
      </c>
      <c r="I17" s="29" t="e">
        <f>#REF!</f>
        <v>#REF!</v>
      </c>
      <c r="J17" s="29" t="e">
        <f>#REF!</f>
        <v>#REF!</v>
      </c>
      <c r="K17" s="29">
        <v>20</v>
      </c>
      <c r="L17" s="29">
        <v>20</v>
      </c>
      <c r="M17" s="27">
        <f t="shared" si="2"/>
        <v>100</v>
      </c>
      <c r="N17" s="27">
        <f t="shared" si="0"/>
        <v>100</v>
      </c>
      <c r="O17" s="27" t="e">
        <f>ROUND((C17+E17)*100/K17,1)</f>
        <v>#REF!</v>
      </c>
      <c r="P17" s="28" t="e">
        <f t="shared" si="1"/>
        <v>#REF!</v>
      </c>
    </row>
    <row r="18" spans="1:16" s="1" customFormat="1" ht="21">
      <c r="A18" s="11">
        <v>9</v>
      </c>
      <c r="B18" s="12" t="s">
        <v>50</v>
      </c>
      <c r="C18" s="29">
        <v>27</v>
      </c>
      <c r="D18" s="29">
        <v>27</v>
      </c>
      <c r="E18" s="29" t="e">
        <f>#REF!</f>
        <v>#REF!</v>
      </c>
      <c r="F18" s="26">
        <v>0</v>
      </c>
      <c r="G18" s="29" t="e">
        <f>#REF!</f>
        <v>#REF!</v>
      </c>
      <c r="H18" s="29" t="e">
        <f>#REF!</f>
        <v>#REF!</v>
      </c>
      <c r="I18" s="29" t="e">
        <f>#REF!</f>
        <v>#REF!</v>
      </c>
      <c r="J18" s="29">
        <v>0</v>
      </c>
      <c r="K18" s="29">
        <v>27</v>
      </c>
      <c r="L18" s="29">
        <v>27</v>
      </c>
      <c r="M18" s="27">
        <f t="shared" si="2"/>
        <v>100</v>
      </c>
      <c r="N18" s="27">
        <f t="shared" si="0"/>
        <v>100</v>
      </c>
      <c r="O18" s="27" t="e">
        <f t="shared" ref="O18:O20" si="3">ROUND((C18+E18)*100/K18,1)</f>
        <v>#REF!</v>
      </c>
      <c r="P18" s="28">
        <f t="shared" ref="P18:P20" si="4">ROUND((D18+F18)*100/L18,1)</f>
        <v>100</v>
      </c>
    </row>
    <row r="19" spans="1:16" s="6" customFormat="1" ht="21">
      <c r="A19" s="56">
        <v>10</v>
      </c>
      <c r="B19" s="57" t="s">
        <v>51</v>
      </c>
      <c r="C19" s="61">
        <v>17</v>
      </c>
      <c r="D19" s="61">
        <v>17</v>
      </c>
      <c r="E19" s="29">
        <v>0</v>
      </c>
      <c r="F19" s="29" t="e">
        <f>#REF!</f>
        <v>#REF!</v>
      </c>
      <c r="G19" s="29">
        <v>0</v>
      </c>
      <c r="H19" s="29">
        <v>0</v>
      </c>
      <c r="I19" s="29">
        <v>0</v>
      </c>
      <c r="J19" s="29" t="e">
        <f>#REF!</f>
        <v>#REF!</v>
      </c>
      <c r="K19" s="61">
        <v>17</v>
      </c>
      <c r="L19" s="61">
        <v>17</v>
      </c>
      <c r="M19" s="27">
        <f t="shared" si="2"/>
        <v>100</v>
      </c>
      <c r="N19" s="27">
        <f t="shared" si="0"/>
        <v>100</v>
      </c>
      <c r="O19" s="27">
        <f t="shared" si="3"/>
        <v>100</v>
      </c>
      <c r="P19" s="28" t="e">
        <f t="shared" si="4"/>
        <v>#REF!</v>
      </c>
    </row>
    <row r="20" spans="1:16" s="1" customFormat="1" ht="21">
      <c r="A20" s="56">
        <v>11</v>
      </c>
      <c r="B20" s="57" t="s">
        <v>52</v>
      </c>
      <c r="C20" s="61">
        <v>18</v>
      </c>
      <c r="D20" s="61">
        <v>18</v>
      </c>
      <c r="E20" s="29" t="e">
        <f>#REF!</f>
        <v>#REF!</v>
      </c>
      <c r="F20" s="29">
        <v>0</v>
      </c>
      <c r="G20" s="29" t="e">
        <f>#REF!</f>
        <v>#REF!</v>
      </c>
      <c r="H20" s="29" t="e">
        <f>#REF!</f>
        <v>#REF!</v>
      </c>
      <c r="I20" s="29" t="e">
        <f>#REF!</f>
        <v>#REF!</v>
      </c>
      <c r="J20" s="29">
        <v>0</v>
      </c>
      <c r="K20" s="61">
        <v>18</v>
      </c>
      <c r="L20" s="61">
        <v>18</v>
      </c>
      <c r="M20" s="27">
        <f t="shared" si="2"/>
        <v>100</v>
      </c>
      <c r="N20" s="27">
        <f t="shared" si="0"/>
        <v>100</v>
      </c>
      <c r="O20" s="27" t="e">
        <f t="shared" si="3"/>
        <v>#REF!</v>
      </c>
      <c r="P20" s="28">
        <f t="shared" si="4"/>
        <v>100</v>
      </c>
    </row>
    <row r="21" spans="1:16" s="1" customFormat="1" ht="16.8">
      <c r="A21" s="32"/>
      <c r="B21" s="33" t="s">
        <v>8</v>
      </c>
      <c r="C21" s="34">
        <f t="shared" ref="C21" si="5">SUM(C10:C20)</f>
        <v>132</v>
      </c>
      <c r="D21" s="34">
        <f t="shared" ref="D21" si="6">SUM(D10:D20)</f>
        <v>132</v>
      </c>
      <c r="E21" s="34" t="e">
        <f t="shared" ref="E21" si="7">SUM(E10:E20)</f>
        <v>#REF!</v>
      </c>
      <c r="F21" s="34" t="e">
        <f t="shared" ref="F21" si="8">SUM(F10:F20)</f>
        <v>#REF!</v>
      </c>
      <c r="G21" s="34" t="e">
        <f t="shared" ref="G21" si="9">SUM(G10:G20)</f>
        <v>#REF!</v>
      </c>
      <c r="H21" s="34" t="e">
        <f t="shared" ref="H21" si="10">SUM(H10:H20)</f>
        <v>#REF!</v>
      </c>
      <c r="I21" s="34" t="e">
        <f t="shared" ref="I21" si="11">SUM(I10:I20)</f>
        <v>#REF!</v>
      </c>
      <c r="J21" s="34" t="e">
        <f t="shared" ref="J21" si="12">SUM(J10:J20)</f>
        <v>#REF!</v>
      </c>
      <c r="K21" s="34">
        <f t="shared" ref="K21" si="13">SUM(K10:K20)</f>
        <v>128</v>
      </c>
      <c r="L21" s="34">
        <f t="shared" ref="L21" si="14">SUM(L10:L20)</f>
        <v>128</v>
      </c>
      <c r="M21" s="34">
        <f t="shared" ref="M21" si="15">SUM(M10:M20)</f>
        <v>900</v>
      </c>
      <c r="N21" s="34">
        <f t="shared" ref="N21" si="16">SUM(N10:N20)</f>
        <v>900</v>
      </c>
      <c r="O21" s="34" t="e">
        <f t="shared" ref="O21" si="17">SUM(O10:O20)</f>
        <v>#REF!</v>
      </c>
      <c r="P21" s="34" t="e">
        <f t="shared" ref="P21" si="18">SUM(P10:P20)</f>
        <v>#REF!</v>
      </c>
    </row>
    <row r="22" spans="1:16" ht="17.399999999999999" thickBot="1">
      <c r="A22" s="35"/>
      <c r="B22" s="36"/>
      <c r="C22" s="37" t="s">
        <v>15</v>
      </c>
      <c r="D22" s="37" t="s">
        <v>29</v>
      </c>
      <c r="E22" s="38"/>
      <c r="F22" s="39"/>
      <c r="G22" s="39"/>
      <c r="H22" s="39"/>
      <c r="I22" s="39"/>
      <c r="J22" s="39"/>
      <c r="K22" s="40"/>
      <c r="L22" s="40"/>
      <c r="M22" s="41"/>
      <c r="N22" s="41"/>
      <c r="O22" s="41"/>
      <c r="P22" s="58"/>
    </row>
    <row r="23" spans="1:16" ht="17.399999999999999" thickBot="1">
      <c r="A23" s="42"/>
      <c r="B23" s="43" t="s">
        <v>30</v>
      </c>
      <c r="C23" s="44" t="e">
        <f>ROUND((C21+E21)*100/K21,1)</f>
        <v>#REF!</v>
      </c>
      <c r="D23" s="45" t="e">
        <f>ROUND((D21+F21)*100/L21,1)</f>
        <v>#REF!</v>
      </c>
      <c r="E23" s="42" t="s">
        <v>9</v>
      </c>
      <c r="F23" s="46"/>
      <c r="G23" s="47"/>
      <c r="H23" s="42"/>
      <c r="I23" s="42"/>
      <c r="J23" s="42"/>
      <c r="K23" s="47"/>
      <c r="L23" s="47"/>
      <c r="M23" s="48"/>
      <c r="N23" s="48"/>
      <c r="O23" s="48"/>
      <c r="P23" s="59"/>
    </row>
    <row r="24" spans="1:16" ht="16.8">
      <c r="A24" s="49"/>
      <c r="B24" s="50" t="s">
        <v>31</v>
      </c>
      <c r="C24" s="51">
        <f>ROUND(C21*100/K21,1)</f>
        <v>103.1</v>
      </c>
      <c r="D24" s="52">
        <f>ROUND(D21*100/L21,1)</f>
        <v>103.1</v>
      </c>
      <c r="E24" s="51" t="s">
        <v>9</v>
      </c>
      <c r="F24" s="53"/>
      <c r="G24" s="54"/>
      <c r="H24" s="49"/>
      <c r="I24" s="49"/>
      <c r="J24" s="49"/>
      <c r="K24" s="54"/>
      <c r="L24" s="54"/>
      <c r="M24" s="55"/>
      <c r="N24" s="55"/>
      <c r="O24" s="55"/>
      <c r="P24" s="60"/>
    </row>
  </sheetData>
  <mergeCells count="18"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  <mergeCell ref="B4:C4"/>
    <mergeCell ref="E4:G4"/>
    <mergeCell ref="H3:K3"/>
    <mergeCell ref="H4:K4"/>
    <mergeCell ref="A1:P1"/>
    <mergeCell ref="B3:C3"/>
    <mergeCell ref="E3:G3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Trường hợp kiểm thử</vt:lpstr>
      <vt:lpstr>Thanh toán VNPay</vt:lpstr>
      <vt:lpstr>Quản lý giỏ hàng</vt:lpstr>
      <vt:lpstr>Quản lý đơn hàng</vt:lpstr>
      <vt:lpstr>Quản lý thông tin tài khoản</vt:lpstr>
      <vt:lpstr>Báo cáo thống kê</vt:lpstr>
      <vt:lpstr>Quản lý kho</vt:lpstr>
      <vt:lpstr>Báo cáo kiểm 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2025-12-16T09:18:04Z</dcterms:modified>
</cp:coreProperties>
</file>