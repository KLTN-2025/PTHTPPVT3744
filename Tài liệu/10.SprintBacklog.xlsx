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trung\Downloads\DATN\"/>
    </mc:Choice>
  </mc:AlternateContent>
  <xr:revisionPtr revIDLastSave="0" documentId="13_ncr:1_{D56CBBBA-F3A0-4E16-AAE1-F7F76BBE622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print 1" sheetId="1" r:id="rId1"/>
    <sheet name="Sprint 2" sheetId="2" r:id="rId2"/>
    <sheet name="Total" sheetId="4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1" i="1" l="1"/>
  <c r="AI81" i="1"/>
  <c r="AJ81" i="1"/>
  <c r="AK81" i="1"/>
  <c r="AH82" i="1"/>
  <c r="AI82" i="1"/>
  <c r="AJ82" i="1"/>
  <c r="AK82" i="1"/>
  <c r="D17" i="4" l="1"/>
  <c r="F16" i="4" s="1"/>
  <c r="C17" i="4"/>
  <c r="E15" i="4" s="1"/>
  <c r="E16" i="4"/>
  <c r="F14" i="4"/>
  <c r="E14" i="4"/>
  <c r="F13" i="4"/>
  <c r="E13" i="4"/>
  <c r="D7" i="4"/>
  <c r="F5" i="4" s="1"/>
  <c r="C7" i="4"/>
  <c r="E6" i="4" s="1"/>
  <c r="F15" i="4" l="1"/>
  <c r="G15" i="4" s="1"/>
  <c r="G14" i="4"/>
  <c r="E3" i="4"/>
  <c r="F4" i="4"/>
  <c r="F3" i="4"/>
  <c r="E4" i="4"/>
  <c r="G4" i="4" s="1"/>
  <c r="E5" i="4"/>
  <c r="G5" i="4" s="1"/>
  <c r="F6" i="4"/>
  <c r="G6" i="4" s="1"/>
  <c r="G16" i="4"/>
  <c r="E17" i="4"/>
  <c r="F17" i="4"/>
  <c r="G13" i="4"/>
  <c r="E7" i="4" l="1"/>
  <c r="G3" i="4"/>
  <c r="G17" i="4"/>
  <c r="F7" i="4"/>
  <c r="G7" i="4" l="1"/>
  <c r="N12" i="4"/>
  <c r="G81" i="1" l="1"/>
  <c r="AC82" i="1"/>
  <c r="AC81" i="1"/>
  <c r="W81" i="1"/>
  <c r="V81" i="1"/>
  <c r="S82" i="1"/>
  <c r="S81" i="1"/>
  <c r="O82" i="1"/>
  <c r="N82" i="1"/>
  <c r="M82" i="1"/>
  <c r="L82" i="1"/>
  <c r="K82" i="1"/>
  <c r="J82" i="1"/>
  <c r="I82" i="1"/>
  <c r="G83" i="2"/>
  <c r="I81" i="1"/>
  <c r="J81" i="1"/>
  <c r="K81" i="1"/>
  <c r="L81" i="1"/>
  <c r="M81" i="1"/>
  <c r="N81" i="1"/>
  <c r="O81" i="1"/>
  <c r="P82" i="1"/>
  <c r="P81" i="1"/>
  <c r="L84" i="2" l="1"/>
  <c r="K83" i="2"/>
  <c r="K84" i="2"/>
  <c r="J84" i="2"/>
  <c r="R82" i="1"/>
  <c r="Y82" i="1"/>
  <c r="Z82" i="1"/>
  <c r="Z81" i="1"/>
  <c r="AB82" i="1"/>
  <c r="T82" i="1"/>
  <c r="U82" i="1"/>
  <c r="X82" i="1"/>
  <c r="AA82" i="1"/>
  <c r="AD82" i="1"/>
  <c r="AE82" i="1"/>
  <c r="AF82" i="1"/>
  <c r="AG82" i="1"/>
  <c r="R81" i="1"/>
  <c r="T81" i="1"/>
  <c r="U81" i="1"/>
  <c r="Y81" i="1"/>
  <c r="AA81" i="1"/>
  <c r="AB81" i="1"/>
  <c r="AE81" i="1"/>
  <c r="AF81" i="1"/>
  <c r="AA84" i="2"/>
  <c r="Z84" i="2"/>
  <c r="V84" i="2"/>
  <c r="T84" i="2"/>
  <c r="P84" i="2"/>
  <c r="N84" i="2"/>
  <c r="O84" i="2"/>
  <c r="O83" i="2"/>
  <c r="Q84" i="2"/>
  <c r="R84" i="2"/>
  <c r="R83" i="2"/>
  <c r="S84" i="2"/>
  <c r="S83" i="2"/>
  <c r="AB83" i="2"/>
  <c r="AA83" i="2"/>
  <c r="Z83" i="2"/>
  <c r="Y84" i="2"/>
  <c r="Y83" i="2"/>
  <c r="U84" i="2"/>
  <c r="U83" i="2"/>
  <c r="Q83" i="2"/>
  <c r="N83" i="2"/>
  <c r="M84" i="2"/>
  <c r="W84" i="2"/>
  <c r="X84" i="2"/>
  <c r="J83" i="2"/>
  <c r="L83" i="2"/>
  <c r="M83" i="2"/>
  <c r="P83" i="2"/>
  <c r="T83" i="2"/>
  <c r="V83" i="2"/>
  <c r="W83" i="2"/>
  <c r="X83" i="2"/>
  <c r="I84" i="2"/>
  <c r="I83" i="2"/>
  <c r="G84" i="2"/>
  <c r="G82" i="1"/>
  <c r="Q82" i="1"/>
</calcChain>
</file>

<file path=xl/sharedStrings.xml><?xml version="1.0" encoding="utf-8"?>
<sst xmlns="http://schemas.openxmlformats.org/spreadsheetml/2006/main" count="338" uniqueCount="161">
  <si>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</si>
  <si>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</si>
  <si>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</si>
  <si>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</si>
  <si>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</si>
  <si>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</si>
  <si>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</si>
  <si>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</si>
  <si>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</si>
  <si>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</si>
  <si>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</si>
  <si>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</si>
  <si>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</si>
  <si>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</si>
  <si>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</si>
  <si>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</si>
  <si>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</si>
  <si>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Giao diện đăng ký</t>
  </si>
  <si>
    <t>User interface design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</si>
  <si>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</si>
  <si>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</si>
  <si>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</si>
  <si>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</si>
  <si>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</si>
  <si>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 xml:space="preserve">Integrate code </t>
  </si>
  <si>
    <t>Coding</t>
  </si>
  <si>
    <t>Kiểm tra đăng nhập</t>
  </si>
  <si>
    <t>Kiểm tra đăng ký</t>
  </si>
  <si>
    <t>Testing</t>
  </si>
  <si>
    <t>Sửa lỗi đăng nhập</t>
  </si>
  <si>
    <t>Sửa lỗi đăng ký</t>
  </si>
  <si>
    <t>Fix Bug</t>
  </si>
  <si>
    <t>Kiểm tra lại đăng ký</t>
  </si>
  <si>
    <t>Sprint 1 review meeting</t>
  </si>
  <si>
    <t>Sprint 1 retrospective</t>
  </si>
  <si>
    <t>Release Sprint 1</t>
  </si>
  <si>
    <t>Sprint 2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</si>
  <si>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</si>
  <si>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</si>
  <si>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</si>
  <si>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</si>
  <si>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</si>
  <si>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</si>
  <si>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</si>
  <si>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Review all user interfaces of sprint 2</t>
  </si>
  <si>
    <t>Review all test case of sprint 2</t>
  </si>
  <si>
    <t>All team</t>
  </si>
  <si>
    <t>Ước tính</t>
  </si>
  <si>
    <t>Thành viên</t>
  </si>
  <si>
    <t>Trước thời hạn</t>
  </si>
  <si>
    <t>Chậm tiến độ</t>
  </si>
  <si>
    <t>Muộn</t>
  </si>
  <si>
    <t>Tăng ca</t>
  </si>
  <si>
    <t>Kết thúc</t>
  </si>
  <si>
    <t>Thái</t>
  </si>
  <si>
    <t>Nhân</t>
  </si>
  <si>
    <t>Giao diện đăng xuất</t>
  </si>
  <si>
    <t>Giao diện quản lí doanh thu</t>
  </si>
  <si>
    <t>Giao diện quản lí sản phẩm</t>
  </si>
  <si>
    <t>Giao diện quản lí khách hàng</t>
  </si>
  <si>
    <t>Giao diện quản lí nhân viên</t>
  </si>
  <si>
    <t>Thiết kế trường kiểm thử đăng nhập</t>
  </si>
  <si>
    <t>Thiết kế trường kiểm thử đăng ký</t>
  </si>
  <si>
    <t>Thiết kế trường kiểm thử đăng xuất</t>
  </si>
  <si>
    <t>Thiết kế trường kiểm thử quản lí doanh thu</t>
  </si>
  <si>
    <t>Thiết kế trường kiểm thử quản lí sản phẩm</t>
  </si>
  <si>
    <t>Thiết kế trường kiểm thử quản lí khách hàng</t>
  </si>
  <si>
    <t>Thiết kế trường kiểm thử quản lí nhân viên</t>
  </si>
  <si>
    <t>Thiết kê front-end cho đăng xuất</t>
  </si>
  <si>
    <t>Code back-end cho đăng xuất</t>
  </si>
  <si>
    <t>Thiết kê front-end cho quản lí sản phẩm</t>
  </si>
  <si>
    <t>Code back-end cho quản lí sản phẩn</t>
  </si>
  <si>
    <t>Thiết kê front-end cho quản lí doanh thu</t>
  </si>
  <si>
    <t>Kiểm tra đăng xuất</t>
  </si>
  <si>
    <t>Kiểm tra quản lí doanh thu</t>
  </si>
  <si>
    <t>Kiểm tra quản lí sản phẩm</t>
  </si>
  <si>
    <t>Kiểm tra quản lí khách hàng</t>
  </si>
  <si>
    <t>Kiểm tra quản lí nhân viên</t>
  </si>
  <si>
    <t>Thiết kê front-end cho quản lí khách hàng</t>
  </si>
  <si>
    <t>Code back-end cho quản lí sản khách hàng</t>
  </si>
  <si>
    <t>Thiết kế front-end cho quản lí nhân viên</t>
  </si>
  <si>
    <t>Code back-end cho quản lí nhân viên</t>
  </si>
  <si>
    <t>Sửa lỗi đăng xuất</t>
  </si>
  <si>
    <t>Sửa lỗi quản lí doanh thu</t>
  </si>
  <si>
    <t>Sửa lỗi quản lí sản phẩm</t>
  </si>
  <si>
    <t>Sửa lỗi quản lí khách hàng</t>
  </si>
  <si>
    <t>Sửa lối quản lí nhân viên</t>
  </si>
  <si>
    <t>Kiểm tra lại đăng xuất</t>
  </si>
  <si>
    <t>Kiểm tra lại quản lí doanh thu</t>
  </si>
  <si>
    <t>Kiểm tra lại quản lí sản phẩm sản phẩm</t>
  </si>
  <si>
    <t>Kiểm tra lại quản lí khách hàng</t>
  </si>
  <si>
    <t>Nguyên</t>
  </si>
  <si>
    <t>Thái, Nguyên</t>
  </si>
  <si>
    <t>Nhân, Nguyên</t>
  </si>
  <si>
    <t>Thái, Nhân</t>
  </si>
  <si>
    <t>Nguyên, Nhân</t>
  </si>
  <si>
    <t>Bùi Trung Nguyên</t>
  </si>
  <si>
    <t>Đặng Ngọc Hoàng Thái</t>
  </si>
  <si>
    <t>Huỳnh Nhân</t>
  </si>
  <si>
    <t>Thiết kê front-end cho đăng ky</t>
  </si>
  <si>
    <t>Code back-end cho đăng ky</t>
  </si>
  <si>
    <t>Giao diện Thanh toán VNPay</t>
  </si>
  <si>
    <t>Giao diện Quản lý giỏ hàng</t>
  </si>
  <si>
    <t>Giao diện Quản lý đơn hàng</t>
  </si>
  <si>
    <t>Giao diện Quản lý thông tin tài khoản</t>
  </si>
  <si>
    <t>Giao diện Báo cáo thống kê</t>
  </si>
  <si>
    <t>Giao diện Quản lý kho</t>
  </si>
  <si>
    <t>Giao diện Quản lý lương</t>
  </si>
  <si>
    <t>Thiết kế trường kiểm thử cho Thanh toán VNPay</t>
  </si>
  <si>
    <t>Thiết kế trường kiểm thử cho Quản lý giỏ hàng</t>
  </si>
  <si>
    <t>Thiết kế trường kiểm thử cho Quản lý đơn hàng</t>
  </si>
  <si>
    <t>Thiết kế trường kiểm thử cho Quản lý thông tin tài khoản</t>
  </si>
  <si>
    <t>Thiết kế trường kiểm thử cho Báo cáo thống kê</t>
  </si>
  <si>
    <t>Thiết kế trường kiểm thử cho Quản lý kho</t>
  </si>
  <si>
    <t>Thiết kế trường kiểm thử cho Quản lý lương</t>
  </si>
  <si>
    <t>Thái,Nhân</t>
  </si>
  <si>
    <t>Thái,Nguyên</t>
  </si>
  <si>
    <t>Nhân,Nguyên</t>
  </si>
  <si>
    <t>Thiết kê front-end cho Thanh toán VNPay</t>
  </si>
  <si>
    <t>Code back-end cho Quản lý giỏ hàng</t>
  </si>
  <si>
    <t>Thiết kê front-end cho Quản lý đơn hàng</t>
  </si>
  <si>
    <t>Code back-end cho Quản lý thông tin tài khoản</t>
  </si>
  <si>
    <t>Thiết kê front-end cho Báo cáo thống kê</t>
  </si>
  <si>
    <t>Code back-end cho Quản lý kho</t>
  </si>
  <si>
    <t>Code back-end cho Thanh toán VNPay</t>
  </si>
  <si>
    <t>Thiết kê front-end cho Quản lý giỏ hàng</t>
  </si>
  <si>
    <t>Code back-end cho Quản lý đơn hàng</t>
  </si>
  <si>
    <t>Thiết kê front-end cho Quản lý thông tin tài khoản</t>
  </si>
  <si>
    <t>Code back-end cho Báo cáo thống kê</t>
  </si>
  <si>
    <t>Thiết kê front-end cho Quản lý kho</t>
  </si>
  <si>
    <t>Thiết kê front-end cho Quản lý lương</t>
  </si>
  <si>
    <t>Code back-end cho Quản lý lương</t>
  </si>
  <si>
    <t>Kiểm tra Thanh toán VNPay</t>
  </si>
  <si>
    <t>Kiểm tra Quản lý giỏ hàng</t>
  </si>
  <si>
    <t>Kiểm tra Quản lý đơn hàng</t>
  </si>
  <si>
    <t>Kiểm tra Quản lý thông tin tài khoản</t>
  </si>
  <si>
    <t>Kiểm tra Báo cáo thống kê</t>
  </si>
  <si>
    <t>Kiểm tra quản lý kho</t>
  </si>
  <si>
    <t>Kiểm tra quản lý lương</t>
  </si>
  <si>
    <t>Sửa lỗi Thanh toán VNPay</t>
  </si>
  <si>
    <t>Sửa lỗi Quản lý giỏ hàng</t>
  </si>
  <si>
    <t>Sửa lỗi Quản lý đơn hàng</t>
  </si>
  <si>
    <t>Sửa lỗi Quản lý thông tin tài khoản</t>
  </si>
  <si>
    <t>Sửa lỗi Báo cáo thống kê</t>
  </si>
  <si>
    <t>Sửa lỗi quản lý lương</t>
  </si>
  <si>
    <t>Sửa lỗi quản lý kho</t>
  </si>
  <si>
    <t>Kiểm tra lại Thanh toán VNPay</t>
  </si>
  <si>
    <t>Kiểm tra lại Quản lý giỏ hàng</t>
  </si>
  <si>
    <t>Kiểm tra lại Quản lý đơn hàng</t>
  </si>
  <si>
    <t>Kiểm tra lại Báo cáo thống kê</t>
  </si>
  <si>
    <t>Kiểm tra lại quản lý kho</t>
  </si>
  <si>
    <t>Kiểm tra lại quản lí lương</t>
  </si>
  <si>
    <t>Xây dựng website bán vật tư y tế tích hợp thanh toán VNPAY</t>
  </si>
  <si>
    <t>Tỷ lệ (%)</t>
  </si>
  <si>
    <t>STT</t>
  </si>
  <si>
    <t>Thành viên nhóm</t>
  </si>
  <si>
    <t>Trung bình Cộng</t>
  </si>
  <si>
    <t>Tổng Cộng</t>
  </si>
  <si>
    <t>STT.</t>
  </si>
  <si>
    <t>Ngô Tuấn Kiệt</t>
  </si>
  <si>
    <t>PHÁT TRIỂN HỆ THÔNG PHÂN PHỐI VẬT TƯ Y TẾ TÍCH HỢP CHATBOT HỖ TRỢ KHÁCH HÀNG VÀ THANH TOÁN ĐIỆN TỬ VNPAY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</si>
</sst>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8"/>
      <name val="Calibri"/>
      <family val="2"/>
      <charset val="163"/>
      <scheme val="minor"/>
    </font>
    <font>
      <sz val="14"/>
      <color theme="1"/>
      <name val="Calibri Light"/>
      <family val="1"/>
      <charset val="163"/>
      <scheme val="major"/>
    </font>
    <font>
      <sz val="13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1" fillId="9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8" borderId="6" xfId="0" applyFont="1" applyFill="1" applyBorder="1"/>
    <xf numFmtId="0" fontId="1" fillId="4" borderId="8" xfId="0" applyFont="1" applyFill="1" applyBorder="1"/>
    <xf numFmtId="0" fontId="3" fillId="0" borderId="9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0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11" borderId="1" xfId="0" applyFont="1" applyFill="1" applyBorder="1"/>
    <xf numFmtId="0" fontId="5" fillId="0" borderId="1" xfId="0" applyFont="1" applyBorder="1" applyAlignment="1">
      <alignment horizontal="left"/>
    </xf>
    <xf numFmtId="0" fontId="2" fillId="13" borderId="15" xfId="0" applyFont="1" applyFill="1" applyBorder="1" applyAlignment="1">
      <alignment horizontal="center"/>
    </xf>
    <xf numFmtId="0" fontId="1" fillId="0" borderId="15" xfId="0" applyFont="1" applyBorder="1"/>
    <xf numFmtId="0" fontId="6" fillId="0" borderId="15" xfId="0" applyFont="1" applyBorder="1"/>
    <xf numFmtId="2" fontId="1" fillId="0" borderId="15" xfId="0" applyNumberFormat="1" applyFont="1" applyBorder="1"/>
    <xf numFmtId="2" fontId="2" fillId="0" borderId="15" xfId="0" applyNumberFormat="1" applyFont="1" applyBorder="1"/>
    <xf numFmtId="0" fontId="2" fillId="14" borderId="15" xfId="0" applyFont="1" applyFill="1" applyBorder="1"/>
    <xf numFmtId="2" fontId="2" fillId="15" borderId="15" xfId="0" applyNumberFormat="1" applyFont="1" applyFill="1" applyBorder="1"/>
    <xf numFmtId="2" fontId="2" fillId="14" borderId="15" xfId="0" applyNumberFormat="1" applyFont="1" applyFill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0" borderId="0" xfId="0" applyFont="1" applyAlignment="1">
      <alignment horizontal="left" vertical="center"/>
    </xf>
    <xf numFmtId="0" fontId="2" fillId="13" borderId="1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12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2" fillId="13" borderId="12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left" vertical="center"/>
    </xf>
    <xf numFmtId="0" fontId="2" fillId="13" borderId="1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1'!$I$13:$AK$13</c:f>
              <c:numCache>
                <c:formatCode>dd/mm</c:formatCode>
                <c:ptCount val="29"/>
                <c:pt idx="0">
                  <c:v>45940</c:v>
                </c:pt>
                <c:pt idx="1">
                  <c:v>45941</c:v>
                </c:pt>
                <c:pt idx="2">
                  <c:v>45942</c:v>
                </c:pt>
                <c:pt idx="3">
                  <c:v>45943</c:v>
                </c:pt>
                <c:pt idx="4">
                  <c:v>45944</c:v>
                </c:pt>
                <c:pt idx="5">
                  <c:v>45945</c:v>
                </c:pt>
                <c:pt idx="6">
                  <c:v>45946</c:v>
                </c:pt>
                <c:pt idx="7">
                  <c:v>45947</c:v>
                </c:pt>
                <c:pt idx="8">
                  <c:v>45948</c:v>
                </c:pt>
                <c:pt idx="9">
                  <c:v>45949</c:v>
                </c:pt>
                <c:pt idx="10">
                  <c:v>45950</c:v>
                </c:pt>
                <c:pt idx="11">
                  <c:v>45951</c:v>
                </c:pt>
                <c:pt idx="12">
                  <c:v>45952</c:v>
                </c:pt>
                <c:pt idx="13">
                  <c:v>45953</c:v>
                </c:pt>
                <c:pt idx="14">
                  <c:v>45954</c:v>
                </c:pt>
                <c:pt idx="15">
                  <c:v>45955</c:v>
                </c:pt>
                <c:pt idx="16">
                  <c:v>45956</c:v>
                </c:pt>
                <c:pt idx="17">
                  <c:v>45957</c:v>
                </c:pt>
                <c:pt idx="18">
                  <c:v>45958</c:v>
                </c:pt>
                <c:pt idx="19">
                  <c:v>45959</c:v>
                </c:pt>
                <c:pt idx="20">
                  <c:v>45960</c:v>
                </c:pt>
                <c:pt idx="21">
                  <c:v>45961</c:v>
                </c:pt>
                <c:pt idx="22">
                  <c:v>45962</c:v>
                </c:pt>
                <c:pt idx="23">
                  <c:v>45963</c:v>
                </c:pt>
                <c:pt idx="24">
                  <c:v>45964</c:v>
                </c:pt>
                <c:pt idx="25">
                  <c:v>45965</c:v>
                </c:pt>
                <c:pt idx="26">
                  <c:v>45966</c:v>
                </c:pt>
                <c:pt idx="27">
                  <c:v>45967</c:v>
                </c:pt>
                <c:pt idx="28">
                  <c:v>45968</c:v>
                </c:pt>
              </c:numCache>
            </c:numRef>
          </c:cat>
          <c:val>
            <c:numRef>
              <c:f>'Sprint 1'!$Q$81:$AN$81</c:f>
              <c:numCache>
                <c:formatCode>General</c:formatCode>
                <c:ptCount val="24"/>
                <c:pt idx="0">
                  <c:v>161</c:v>
                </c:pt>
                <c:pt idx="1">
                  <c:v>160</c:v>
                </c:pt>
                <c:pt idx="2">
                  <c:v>160</c:v>
                </c:pt>
                <c:pt idx="3">
                  <c:v>151</c:v>
                </c:pt>
                <c:pt idx="4">
                  <c:v>149</c:v>
                </c:pt>
                <c:pt idx="5">
                  <c:v>139</c:v>
                </c:pt>
                <c:pt idx="6">
                  <c:v>120</c:v>
                </c:pt>
                <c:pt idx="7">
                  <c:v>110</c:v>
                </c:pt>
                <c:pt idx="8">
                  <c:v>102</c:v>
                </c:pt>
                <c:pt idx="9">
                  <c:v>92</c:v>
                </c:pt>
                <c:pt idx="10">
                  <c:v>86</c:v>
                </c:pt>
                <c:pt idx="11">
                  <c:v>77</c:v>
                </c:pt>
                <c:pt idx="12">
                  <c:v>64</c:v>
                </c:pt>
                <c:pt idx="13">
                  <c:v>63</c:v>
                </c:pt>
                <c:pt idx="14">
                  <c:v>56</c:v>
                </c:pt>
                <c:pt idx="15">
                  <c:v>36</c:v>
                </c:pt>
                <c:pt idx="16">
                  <c:v>22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2-4205-BBCE-367A6429A81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1'!$I$13:$AK$13</c:f>
              <c:numCache>
                <c:formatCode>dd/mm</c:formatCode>
                <c:ptCount val="29"/>
                <c:pt idx="0">
                  <c:v>45940</c:v>
                </c:pt>
                <c:pt idx="1">
                  <c:v>45941</c:v>
                </c:pt>
                <c:pt idx="2">
                  <c:v>45942</c:v>
                </c:pt>
                <c:pt idx="3">
                  <c:v>45943</c:v>
                </c:pt>
                <c:pt idx="4">
                  <c:v>45944</c:v>
                </c:pt>
                <c:pt idx="5">
                  <c:v>45945</c:v>
                </c:pt>
                <c:pt idx="6">
                  <c:v>45946</c:v>
                </c:pt>
                <c:pt idx="7">
                  <c:v>45947</c:v>
                </c:pt>
                <c:pt idx="8">
                  <c:v>45948</c:v>
                </c:pt>
                <c:pt idx="9">
                  <c:v>45949</c:v>
                </c:pt>
                <c:pt idx="10">
                  <c:v>45950</c:v>
                </c:pt>
                <c:pt idx="11">
                  <c:v>45951</c:v>
                </c:pt>
                <c:pt idx="12">
                  <c:v>45952</c:v>
                </c:pt>
                <c:pt idx="13">
                  <c:v>45953</c:v>
                </c:pt>
                <c:pt idx="14">
                  <c:v>45954</c:v>
                </c:pt>
                <c:pt idx="15">
                  <c:v>45955</c:v>
                </c:pt>
                <c:pt idx="16">
                  <c:v>45956</c:v>
                </c:pt>
                <c:pt idx="17">
                  <c:v>45957</c:v>
                </c:pt>
                <c:pt idx="18">
                  <c:v>45958</c:v>
                </c:pt>
                <c:pt idx="19">
                  <c:v>45959</c:v>
                </c:pt>
                <c:pt idx="20">
                  <c:v>45960</c:v>
                </c:pt>
                <c:pt idx="21">
                  <c:v>45961</c:v>
                </c:pt>
                <c:pt idx="22">
                  <c:v>45962</c:v>
                </c:pt>
                <c:pt idx="23">
                  <c:v>45963</c:v>
                </c:pt>
                <c:pt idx="24">
                  <c:v>45964</c:v>
                </c:pt>
                <c:pt idx="25">
                  <c:v>45965</c:v>
                </c:pt>
                <c:pt idx="26">
                  <c:v>45966</c:v>
                </c:pt>
                <c:pt idx="27">
                  <c:v>45967</c:v>
                </c:pt>
                <c:pt idx="28">
                  <c:v>45968</c:v>
                </c:pt>
              </c:numCache>
            </c:numRef>
          </c:cat>
          <c:val>
            <c:numRef>
              <c:f>'Sprint 1'!$Q$82:$AN$82</c:f>
              <c:numCache>
                <c:formatCode>General</c:formatCode>
                <c:ptCount val="24"/>
                <c:pt idx="0">
                  <c:v>162</c:v>
                </c:pt>
                <c:pt idx="1">
                  <c:v>160</c:v>
                </c:pt>
                <c:pt idx="2">
                  <c:v>160</c:v>
                </c:pt>
                <c:pt idx="3">
                  <c:v>151</c:v>
                </c:pt>
                <c:pt idx="4">
                  <c:v>149</c:v>
                </c:pt>
                <c:pt idx="5">
                  <c:v>138</c:v>
                </c:pt>
                <c:pt idx="6">
                  <c:v>125</c:v>
                </c:pt>
                <c:pt idx="7">
                  <c:v>109</c:v>
                </c:pt>
                <c:pt idx="8">
                  <c:v>102</c:v>
                </c:pt>
                <c:pt idx="9">
                  <c:v>92</c:v>
                </c:pt>
                <c:pt idx="10">
                  <c:v>86</c:v>
                </c:pt>
                <c:pt idx="11">
                  <c:v>77</c:v>
                </c:pt>
                <c:pt idx="12">
                  <c:v>64</c:v>
                </c:pt>
                <c:pt idx="13">
                  <c:v>62</c:v>
                </c:pt>
                <c:pt idx="14">
                  <c:v>56</c:v>
                </c:pt>
                <c:pt idx="15">
                  <c:v>36</c:v>
                </c:pt>
                <c:pt idx="16">
                  <c:v>26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2-4205-BBCE-367A6429A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85056"/>
        <c:axId val="157086848"/>
      </c:lineChart>
      <c:dateAx>
        <c:axId val="157085056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157086848"/>
        <c:crosses val="autoZero"/>
        <c:auto val="1"/>
        <c:lblOffset val="100"/>
        <c:baseTimeUnit val="days"/>
      </c:dateAx>
      <c:valAx>
        <c:axId val="15708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085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2'!$I$13:$AB$13</c:f>
              <c:numCache>
                <c:formatCode>dd/mm</c:formatCode>
                <c:ptCount val="20"/>
                <c:pt idx="0">
                  <c:v>45967</c:v>
                </c:pt>
                <c:pt idx="1">
                  <c:v>45968</c:v>
                </c:pt>
                <c:pt idx="2">
                  <c:v>45969</c:v>
                </c:pt>
                <c:pt idx="3">
                  <c:v>45970</c:v>
                </c:pt>
                <c:pt idx="4">
                  <c:v>45971</c:v>
                </c:pt>
                <c:pt idx="5">
                  <c:v>45972</c:v>
                </c:pt>
                <c:pt idx="6">
                  <c:v>45973</c:v>
                </c:pt>
                <c:pt idx="7">
                  <c:v>45974</c:v>
                </c:pt>
                <c:pt idx="8">
                  <c:v>45975</c:v>
                </c:pt>
                <c:pt idx="9">
                  <c:v>45976</c:v>
                </c:pt>
                <c:pt idx="10">
                  <c:v>45977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45983</c:v>
                </c:pt>
                <c:pt idx="17">
                  <c:v>45984</c:v>
                </c:pt>
                <c:pt idx="18">
                  <c:v>45985</c:v>
                </c:pt>
                <c:pt idx="19">
                  <c:v>45986</c:v>
                </c:pt>
              </c:numCache>
            </c:numRef>
          </c:cat>
          <c:val>
            <c:numRef>
              <c:f>'Sprint 2'!$I$83:$AB$83</c:f>
              <c:numCache>
                <c:formatCode>General</c:formatCode>
                <c:ptCount val="20"/>
                <c:pt idx="0">
                  <c:v>228</c:v>
                </c:pt>
                <c:pt idx="1">
                  <c:v>211</c:v>
                </c:pt>
                <c:pt idx="2">
                  <c:v>209</c:v>
                </c:pt>
                <c:pt idx="3">
                  <c:v>205</c:v>
                </c:pt>
                <c:pt idx="4">
                  <c:v>199</c:v>
                </c:pt>
                <c:pt idx="5">
                  <c:v>142</c:v>
                </c:pt>
                <c:pt idx="6">
                  <c:v>116</c:v>
                </c:pt>
                <c:pt idx="7">
                  <c:v>107</c:v>
                </c:pt>
                <c:pt idx="8">
                  <c:v>106</c:v>
                </c:pt>
                <c:pt idx="9">
                  <c:v>106</c:v>
                </c:pt>
                <c:pt idx="10">
                  <c:v>72</c:v>
                </c:pt>
                <c:pt idx="11">
                  <c:v>62</c:v>
                </c:pt>
                <c:pt idx="12">
                  <c:v>58</c:v>
                </c:pt>
                <c:pt idx="13">
                  <c:v>58</c:v>
                </c:pt>
                <c:pt idx="14">
                  <c:v>55</c:v>
                </c:pt>
                <c:pt idx="15">
                  <c:v>34</c:v>
                </c:pt>
                <c:pt idx="16">
                  <c:v>17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F-4DAC-984D-F7E15ADE21E8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2'!$I$13:$AB$13</c:f>
              <c:numCache>
                <c:formatCode>dd/mm</c:formatCode>
                <c:ptCount val="20"/>
                <c:pt idx="0">
                  <c:v>45967</c:v>
                </c:pt>
                <c:pt idx="1">
                  <c:v>45968</c:v>
                </c:pt>
                <c:pt idx="2">
                  <c:v>45969</c:v>
                </c:pt>
                <c:pt idx="3">
                  <c:v>45970</c:v>
                </c:pt>
                <c:pt idx="4">
                  <c:v>45971</c:v>
                </c:pt>
                <c:pt idx="5">
                  <c:v>45972</c:v>
                </c:pt>
                <c:pt idx="6">
                  <c:v>45973</c:v>
                </c:pt>
                <c:pt idx="7">
                  <c:v>45974</c:v>
                </c:pt>
                <c:pt idx="8">
                  <c:v>45975</c:v>
                </c:pt>
                <c:pt idx="9">
                  <c:v>45976</c:v>
                </c:pt>
                <c:pt idx="10">
                  <c:v>45977</c:v>
                </c:pt>
                <c:pt idx="11">
                  <c:v>45978</c:v>
                </c:pt>
                <c:pt idx="12">
                  <c:v>45979</c:v>
                </c:pt>
                <c:pt idx="13">
                  <c:v>45980</c:v>
                </c:pt>
                <c:pt idx="14">
                  <c:v>45981</c:v>
                </c:pt>
                <c:pt idx="15">
                  <c:v>45982</c:v>
                </c:pt>
                <c:pt idx="16">
                  <c:v>45983</c:v>
                </c:pt>
                <c:pt idx="17">
                  <c:v>45984</c:v>
                </c:pt>
                <c:pt idx="18">
                  <c:v>45985</c:v>
                </c:pt>
                <c:pt idx="19">
                  <c:v>45986</c:v>
                </c:pt>
              </c:numCache>
            </c:numRef>
          </c:cat>
          <c:val>
            <c:numRef>
              <c:f>'Sprint 2'!$I$84:$AB$84</c:f>
              <c:numCache>
                <c:formatCode>General</c:formatCode>
                <c:ptCount val="20"/>
                <c:pt idx="0">
                  <c:v>228</c:v>
                </c:pt>
                <c:pt idx="1">
                  <c:v>213</c:v>
                </c:pt>
                <c:pt idx="2">
                  <c:v>209</c:v>
                </c:pt>
                <c:pt idx="3">
                  <c:v>203</c:v>
                </c:pt>
                <c:pt idx="4">
                  <c:v>199</c:v>
                </c:pt>
                <c:pt idx="5">
                  <c:v>147</c:v>
                </c:pt>
                <c:pt idx="6">
                  <c:v>116</c:v>
                </c:pt>
                <c:pt idx="7">
                  <c:v>105</c:v>
                </c:pt>
                <c:pt idx="8">
                  <c:v>106</c:v>
                </c:pt>
                <c:pt idx="9">
                  <c:v>106</c:v>
                </c:pt>
                <c:pt idx="10">
                  <c:v>72</c:v>
                </c:pt>
                <c:pt idx="11">
                  <c:v>62</c:v>
                </c:pt>
                <c:pt idx="12">
                  <c:v>58</c:v>
                </c:pt>
                <c:pt idx="13">
                  <c:v>58</c:v>
                </c:pt>
                <c:pt idx="14">
                  <c:v>55</c:v>
                </c:pt>
                <c:pt idx="15">
                  <c:v>34</c:v>
                </c:pt>
                <c:pt idx="16">
                  <c:v>17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F-4DAC-984D-F7E15ADE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55456"/>
        <c:axId val="156756992"/>
      </c:lineChart>
      <c:dateAx>
        <c:axId val="156755456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156756992"/>
        <c:crosses val="autoZero"/>
        <c:auto val="1"/>
        <c:lblOffset val="100"/>
        <c:baseTimeUnit val="days"/>
      </c:dateAx>
      <c:valAx>
        <c:axId val="15675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75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83</xdr:row>
      <xdr:rowOff>57149</xdr:rowOff>
    </xdr:from>
    <xdr:to>
      <xdr:col>27</xdr:col>
      <xdr:colOff>285750</xdr:colOff>
      <xdr:row>115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336175</xdr:colOff>
      <xdr:row>84</xdr:row>
      <xdr:rowOff>107574</xdr:rowOff>
    </xdr:from>
    <xdr:to>
      <xdr:col>12</xdr:col>
      <xdr:colOff>212911</xdr:colOff>
      <xdr:row>106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2"/>
  <sheetViews>
    <sheetView tabSelected="1" zoomScale="55" zoomScaleNormal="55" workbookViewId="0">
      <selection activeCell="C1" sqref="C1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161.33203125" style="1" bestFit="1" customWidth="1"/>
    <col min="4" max="5" width="11" style="1" customWidth="1"/>
    <col min="6" max="6" width="20.5546875" style="1" customWidth="1"/>
    <col min="7" max="17" width="6.109375" style="1" customWidth="1"/>
    <col min="18" max="18" width="6" style="1" customWidth="1"/>
    <col min="19" max="22" width="6.109375" style="1" customWidth="1"/>
    <col min="23" max="23" width="6" style="1" customWidth="1"/>
    <col min="24" max="24" width="6.109375" style="1" customWidth="1"/>
    <col min="25" max="29" width="6" style="1" customWidth="1"/>
    <col min="30" max="32" width="6.109375" style="1" customWidth="1"/>
    <col min="33" max="33" width="6" style="1" customWidth="1"/>
    <col min="34" max="34" width="6.109375" style="1" customWidth="1"/>
    <col min="35" max="35" width="6" style="1" customWidth="1"/>
    <col min="36" max="36" width="5.88671875" style="1" customWidth="1"/>
    <col min="37" max="37" width="6.109375" style="1" customWidth="1"/>
    <col min="38" max="40" width="6" style="1" customWidth="1"/>
    <col min="41" max="16384" width="9.109375" style="1"/>
  </cols>
  <sheetData>
    <row r="1" spans="1:40" ht="17.399999999999999" thickBot="1" x14ac:dyDescent="0.35">
      <c r="A1" s="55" t="s">
        <v>3</v>
      </c>
      <c r="B1" s="55"/>
      <c r="C1" s="5" t="s">
        <v>160</v>
      </c>
      <c r="E1" s="11"/>
      <c r="F1" s="12" t="s">
        <v>53</v>
      </c>
    </row>
    <row r="2" spans="1:40" ht="17.399999999999999" thickBot="1" x14ac:dyDescent="0.35">
      <c r="A2" s="55" t="s">
        <v>2</v>
      </c>
      <c r="B2" s="55"/>
      <c r="C2" s="3" t="s">
        <v>4</v>
      </c>
      <c r="E2" s="13"/>
      <c r="F2" s="14" t="s">
        <v>52</v>
      </c>
    </row>
    <row r="3" spans="1:40" ht="17.399999999999999" thickBot="1" x14ac:dyDescent="0.35">
      <c r="A3" s="55" t="s">
        <v>1</v>
      </c>
      <c r="B3" s="55"/>
      <c r="C3" s="4">
        <v>45818</v>
      </c>
      <c r="E3" s="15"/>
      <c r="F3" s="14" t="s">
        <v>51</v>
      </c>
    </row>
    <row r="4" spans="1:40" ht="17.25" customHeight="1" thickBot="1" x14ac:dyDescent="0.35">
      <c r="A4" s="55" t="s">
        <v>0</v>
      </c>
      <c r="B4" s="55"/>
      <c r="C4" s="4">
        <v>45788</v>
      </c>
      <c r="E4" s="16"/>
      <c r="F4" s="14" t="s">
        <v>50</v>
      </c>
    </row>
    <row r="5" spans="1:40" ht="16.5" customHeight="1" thickBot="1" x14ac:dyDescent="0.35">
      <c r="E5" s="17"/>
      <c r="F5" s="18" t="s">
        <v>49</v>
      </c>
    </row>
    <row r="6" spans="1:40" ht="17.399999999999999" thickBot="1" x14ac:dyDescent="0.35">
      <c r="B6" s="56" t="s">
        <v>5</v>
      </c>
      <c r="C6" s="56"/>
      <c r="D6" s="56"/>
      <c r="E6" s="57"/>
    </row>
    <row r="7" spans="1:40" ht="17.399999999999999" thickBot="1" x14ac:dyDescent="0.35">
      <c r="B7" s="7" t="s">
        <v>6</v>
      </c>
      <c r="C7" s="7" t="s">
        <v>48</v>
      </c>
      <c r="D7" s="7" t="s">
        <v>11</v>
      </c>
      <c r="E7" s="7" t="s">
        <v>47</v>
      </c>
    </row>
    <row r="8" spans="1:40" ht="17.399999999999999" thickBot="1" x14ac:dyDescent="0.35">
      <c r="B8" s="9">
        <v>1</v>
      </c>
      <c r="C8" s="3" t="s">
        <v>96</v>
      </c>
      <c r="D8" s="32">
        <v>53</v>
      </c>
      <c r="E8" s="32">
        <v>54</v>
      </c>
    </row>
    <row r="9" spans="1:40" ht="17.399999999999999" thickBot="1" x14ac:dyDescent="0.35">
      <c r="B9" s="9">
        <v>2</v>
      </c>
      <c r="C9" s="3" t="s">
        <v>97</v>
      </c>
      <c r="D9" s="32">
        <v>57</v>
      </c>
      <c r="E9" s="32">
        <v>59</v>
      </c>
    </row>
    <row r="10" spans="1:40" ht="17.399999999999999" thickBot="1" x14ac:dyDescent="0.35">
      <c r="B10" s="9">
        <v>3</v>
      </c>
      <c r="C10" s="3" t="s">
        <v>98</v>
      </c>
      <c r="D10" s="3">
        <v>57</v>
      </c>
      <c r="E10" s="32">
        <v>59</v>
      </c>
    </row>
    <row r="11" spans="1:40" ht="17.399999999999999" thickBot="1" x14ac:dyDescent="0.35">
      <c r="B11" s="56" t="s">
        <v>12</v>
      </c>
      <c r="C11" s="56"/>
      <c r="D11" s="31">
        <v>167</v>
      </c>
      <c r="E11" s="31">
        <v>172</v>
      </c>
    </row>
    <row r="13" spans="1:40" ht="62.25" customHeight="1" x14ac:dyDescent="0.3">
      <c r="A13" s="19" t="s">
        <v>7</v>
      </c>
      <c r="B13" s="19" t="s">
        <v>8</v>
      </c>
      <c r="C13" s="58" t="s">
        <v>9</v>
      </c>
      <c r="D13" s="58"/>
      <c r="E13" s="58" t="s">
        <v>10</v>
      </c>
      <c r="F13" s="58"/>
      <c r="G13" s="20" t="s">
        <v>11</v>
      </c>
      <c r="H13" s="20" t="s">
        <v>47</v>
      </c>
      <c r="I13" s="21">
        <v>45940</v>
      </c>
      <c r="J13" s="21">
        <v>45941</v>
      </c>
      <c r="K13" s="21">
        <v>45942</v>
      </c>
      <c r="L13" s="21">
        <v>45943</v>
      </c>
      <c r="M13" s="21">
        <v>45944</v>
      </c>
      <c r="N13" s="21">
        <v>45945</v>
      </c>
      <c r="O13" s="21">
        <v>45946</v>
      </c>
      <c r="P13" s="21">
        <v>45947</v>
      </c>
      <c r="Q13" s="21">
        <v>45948</v>
      </c>
      <c r="R13" s="21">
        <v>45949</v>
      </c>
      <c r="S13" s="21">
        <v>45950</v>
      </c>
      <c r="T13" s="21">
        <v>45951</v>
      </c>
      <c r="U13" s="21">
        <v>45952</v>
      </c>
      <c r="V13" s="21">
        <v>45953</v>
      </c>
      <c r="W13" s="21">
        <v>45954</v>
      </c>
      <c r="X13" s="21">
        <v>45955</v>
      </c>
      <c r="Y13" s="21">
        <v>45956</v>
      </c>
      <c r="Z13" s="21">
        <v>45957</v>
      </c>
      <c r="AA13" s="21">
        <v>45958</v>
      </c>
      <c r="AB13" s="21">
        <v>45959</v>
      </c>
      <c r="AC13" s="21">
        <v>45960</v>
      </c>
      <c r="AD13" s="21">
        <v>45961</v>
      </c>
      <c r="AE13" s="21">
        <v>45962</v>
      </c>
      <c r="AF13" s="21">
        <v>45963</v>
      </c>
      <c r="AG13" s="21">
        <v>45964</v>
      </c>
      <c r="AH13" s="21">
        <v>45965</v>
      </c>
      <c r="AI13" s="21">
        <v>45966</v>
      </c>
      <c r="AJ13" s="21">
        <v>45967</v>
      </c>
      <c r="AK13" s="21">
        <v>45968</v>
      </c>
      <c r="AL13" s="21"/>
      <c r="AM13" s="21"/>
      <c r="AN13" s="21"/>
    </row>
    <row r="14" spans="1:40" x14ac:dyDescent="0.3">
      <c r="A14" s="53" t="s">
        <v>4</v>
      </c>
      <c r="B14" s="50" t="s">
        <v>13</v>
      </c>
      <c r="C14" s="50"/>
      <c r="D14" s="50"/>
      <c r="E14" s="51" t="s">
        <v>46</v>
      </c>
      <c r="F14" s="51"/>
      <c r="G14" s="22">
        <v>8</v>
      </c>
      <c r="H14" s="22">
        <v>8</v>
      </c>
      <c r="I14" s="22">
        <v>8</v>
      </c>
      <c r="J14" s="22">
        <v>8</v>
      </c>
      <c r="K14" s="23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1"/>
      <c r="AM14" s="21"/>
      <c r="AN14" s="22"/>
    </row>
    <row r="15" spans="1:40" x14ac:dyDescent="0.3">
      <c r="A15" s="53"/>
      <c r="B15" s="50" t="s">
        <v>14</v>
      </c>
      <c r="C15" s="50"/>
      <c r="D15" s="50"/>
      <c r="E15" s="51" t="s">
        <v>54</v>
      </c>
      <c r="F15" s="51"/>
      <c r="G15" s="22">
        <v>2</v>
      </c>
      <c r="H15" s="22">
        <v>4</v>
      </c>
      <c r="I15" s="22">
        <v>4</v>
      </c>
      <c r="J15" s="22">
        <v>4</v>
      </c>
      <c r="K15" s="22">
        <v>4</v>
      </c>
      <c r="L15" s="22">
        <v>4</v>
      </c>
      <c r="M15" s="22">
        <v>4</v>
      </c>
      <c r="N15" s="22">
        <v>4</v>
      </c>
      <c r="O15" s="22">
        <v>4</v>
      </c>
      <c r="P15" s="22">
        <v>2</v>
      </c>
      <c r="Q15" s="23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1"/>
      <c r="AM15" s="21"/>
      <c r="AN15" s="22"/>
    </row>
    <row r="16" spans="1:40" x14ac:dyDescent="0.3">
      <c r="A16" s="53"/>
      <c r="B16" s="51"/>
      <c r="C16" s="51"/>
      <c r="D16" s="51"/>
      <c r="E16" s="51"/>
      <c r="F16" s="5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4">
        <v>2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1"/>
      <c r="AM16" s="21"/>
      <c r="AN16" s="22"/>
    </row>
    <row r="17" spans="1:40" x14ac:dyDescent="0.3">
      <c r="A17" s="53"/>
      <c r="B17" s="50" t="s">
        <v>15</v>
      </c>
      <c r="C17" s="50"/>
      <c r="D17" s="50"/>
      <c r="E17" s="51" t="s">
        <v>91</v>
      </c>
      <c r="F17" s="51"/>
      <c r="G17" s="22">
        <v>2</v>
      </c>
      <c r="H17" s="22">
        <v>2</v>
      </c>
      <c r="I17" s="22">
        <v>2</v>
      </c>
      <c r="J17" s="22">
        <v>2</v>
      </c>
      <c r="K17" s="22">
        <v>2</v>
      </c>
      <c r="L17" s="22">
        <v>2</v>
      </c>
      <c r="M17" s="22">
        <v>2</v>
      </c>
      <c r="N17" s="22">
        <v>2</v>
      </c>
      <c r="O17" s="22">
        <v>2</v>
      </c>
      <c r="P17" s="22">
        <v>2</v>
      </c>
      <c r="Q17" s="22">
        <v>2</v>
      </c>
      <c r="R17" s="22">
        <v>2</v>
      </c>
      <c r="S17" s="22">
        <v>2</v>
      </c>
      <c r="T17" s="23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1"/>
      <c r="AM17" s="21"/>
      <c r="AN17" s="22"/>
    </row>
    <row r="18" spans="1:40" x14ac:dyDescent="0.3">
      <c r="A18" s="53"/>
      <c r="B18" s="53" t="s">
        <v>18</v>
      </c>
      <c r="C18" s="50" t="s">
        <v>16</v>
      </c>
      <c r="D18" s="50"/>
      <c r="E18" s="51" t="s">
        <v>55</v>
      </c>
      <c r="F18" s="51"/>
      <c r="G18" s="22">
        <v>1</v>
      </c>
      <c r="H18" s="22">
        <v>1</v>
      </c>
      <c r="I18" s="22">
        <v>1</v>
      </c>
      <c r="J18" s="22">
        <v>1</v>
      </c>
      <c r="K18" s="22">
        <v>1</v>
      </c>
      <c r="L18" s="22">
        <v>1</v>
      </c>
      <c r="M18" s="22">
        <v>1</v>
      </c>
      <c r="N18" s="22">
        <v>1</v>
      </c>
      <c r="O18" s="22">
        <v>1</v>
      </c>
      <c r="P18" s="22">
        <v>1</v>
      </c>
      <c r="Q18" s="22">
        <v>1</v>
      </c>
      <c r="R18" s="22">
        <v>1</v>
      </c>
      <c r="S18" s="22">
        <v>1</v>
      </c>
      <c r="T18" s="23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1"/>
      <c r="AM18" s="21"/>
      <c r="AN18" s="22"/>
    </row>
    <row r="19" spans="1:40" x14ac:dyDescent="0.3">
      <c r="A19" s="53"/>
      <c r="B19" s="53"/>
      <c r="C19" s="50" t="s">
        <v>17</v>
      </c>
      <c r="D19" s="50"/>
      <c r="E19" s="51" t="s">
        <v>55</v>
      </c>
      <c r="F19" s="51"/>
      <c r="G19" s="22">
        <v>1</v>
      </c>
      <c r="H19" s="22">
        <v>1</v>
      </c>
      <c r="I19" s="22">
        <v>1</v>
      </c>
      <c r="J19" s="22">
        <v>1</v>
      </c>
      <c r="K19" s="22">
        <v>1</v>
      </c>
      <c r="L19" s="22">
        <v>1</v>
      </c>
      <c r="M19" s="22">
        <v>1</v>
      </c>
      <c r="N19" s="22">
        <v>1</v>
      </c>
      <c r="O19" s="22">
        <v>1</v>
      </c>
      <c r="P19" s="22">
        <v>1</v>
      </c>
      <c r="Q19" s="22">
        <v>1</v>
      </c>
      <c r="R19" s="22">
        <v>1</v>
      </c>
      <c r="S19" s="22">
        <v>1</v>
      </c>
      <c r="T19" s="23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1"/>
      <c r="AM19" s="21"/>
      <c r="AN19" s="22"/>
    </row>
    <row r="20" spans="1:40" x14ac:dyDescent="0.3">
      <c r="A20" s="53"/>
      <c r="B20" s="53"/>
      <c r="C20" s="50" t="s">
        <v>56</v>
      </c>
      <c r="D20" s="50"/>
      <c r="E20" s="51" t="s">
        <v>55</v>
      </c>
      <c r="F20" s="51"/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22">
        <v>1</v>
      </c>
      <c r="M20" s="22">
        <v>1</v>
      </c>
      <c r="N20" s="22">
        <v>1</v>
      </c>
      <c r="O20" s="22">
        <v>1</v>
      </c>
      <c r="P20" s="22">
        <v>1</v>
      </c>
      <c r="Q20" s="22">
        <v>1</v>
      </c>
      <c r="R20" s="22">
        <v>1</v>
      </c>
      <c r="S20" s="22">
        <v>1</v>
      </c>
      <c r="T20" s="23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1"/>
      <c r="AM20" s="21"/>
      <c r="AN20" s="22"/>
    </row>
    <row r="21" spans="1:40" x14ac:dyDescent="0.3">
      <c r="A21" s="53"/>
      <c r="B21" s="53"/>
      <c r="C21" s="50" t="s">
        <v>57</v>
      </c>
      <c r="D21" s="50"/>
      <c r="E21" s="51" t="s">
        <v>54</v>
      </c>
      <c r="F21" s="51"/>
      <c r="G21" s="22">
        <v>1</v>
      </c>
      <c r="H21" s="22">
        <v>1</v>
      </c>
      <c r="I21" s="22">
        <v>1</v>
      </c>
      <c r="J21" s="22">
        <v>1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23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1"/>
      <c r="AM21" s="21"/>
      <c r="AN21" s="22"/>
    </row>
    <row r="22" spans="1:40" x14ac:dyDescent="0.3">
      <c r="A22" s="53"/>
      <c r="B22" s="53"/>
      <c r="C22" s="50" t="s">
        <v>58</v>
      </c>
      <c r="D22" s="50"/>
      <c r="E22" s="51" t="s">
        <v>55</v>
      </c>
      <c r="F22" s="51"/>
      <c r="G22" s="22">
        <v>1</v>
      </c>
      <c r="H22" s="22">
        <v>1</v>
      </c>
      <c r="I22" s="22">
        <v>1</v>
      </c>
      <c r="J22" s="22">
        <v>1</v>
      </c>
      <c r="K22" s="22">
        <v>1</v>
      </c>
      <c r="L22" s="22">
        <v>1</v>
      </c>
      <c r="M22" s="22">
        <v>1</v>
      </c>
      <c r="N22" s="22">
        <v>1</v>
      </c>
      <c r="O22" s="22">
        <v>1</v>
      </c>
      <c r="P22" s="22">
        <v>1</v>
      </c>
      <c r="Q22" s="22">
        <v>1</v>
      </c>
      <c r="R22" s="22">
        <v>1</v>
      </c>
      <c r="S22" s="22">
        <v>1</v>
      </c>
      <c r="T22" s="23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1"/>
      <c r="AM22" s="21"/>
      <c r="AN22" s="22"/>
    </row>
    <row r="23" spans="1:40" ht="16.2" customHeight="1" x14ac:dyDescent="0.3">
      <c r="A23" s="53"/>
      <c r="B23" s="53"/>
      <c r="C23" s="50" t="s">
        <v>59</v>
      </c>
      <c r="D23" s="50"/>
      <c r="E23" s="51" t="s">
        <v>91</v>
      </c>
      <c r="F23" s="51"/>
      <c r="G23" s="22">
        <v>1</v>
      </c>
      <c r="H23" s="22">
        <v>1</v>
      </c>
      <c r="I23" s="22">
        <v>1</v>
      </c>
      <c r="J23" s="22">
        <v>1</v>
      </c>
      <c r="K23" s="22">
        <v>1</v>
      </c>
      <c r="L23" s="22">
        <v>1</v>
      </c>
      <c r="M23" s="22">
        <v>1</v>
      </c>
      <c r="N23" s="22">
        <v>1</v>
      </c>
      <c r="O23" s="22">
        <v>1</v>
      </c>
      <c r="P23" s="22">
        <v>1</v>
      </c>
      <c r="Q23" s="22">
        <v>1</v>
      </c>
      <c r="R23" s="22">
        <v>1</v>
      </c>
      <c r="S23" s="22">
        <v>1</v>
      </c>
      <c r="T23" s="23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1"/>
      <c r="AM23" s="21"/>
      <c r="AN23" s="22"/>
    </row>
    <row r="24" spans="1:40" ht="16.2" customHeight="1" x14ac:dyDescent="0.3">
      <c r="A24" s="53"/>
      <c r="B24" s="53"/>
      <c r="C24" s="29" t="s">
        <v>60</v>
      </c>
      <c r="D24" s="29"/>
      <c r="E24" s="27"/>
      <c r="F24" s="27" t="s">
        <v>54</v>
      </c>
      <c r="G24" s="22">
        <v>1</v>
      </c>
      <c r="H24" s="22">
        <v>1</v>
      </c>
      <c r="I24" s="22">
        <v>1</v>
      </c>
      <c r="J24" s="22">
        <v>1</v>
      </c>
      <c r="K24" s="22">
        <v>1</v>
      </c>
      <c r="L24" s="22">
        <v>1</v>
      </c>
      <c r="M24" s="22">
        <v>1</v>
      </c>
      <c r="N24" s="22">
        <v>1</v>
      </c>
      <c r="O24" s="22">
        <v>1</v>
      </c>
      <c r="P24" s="22">
        <v>1</v>
      </c>
      <c r="Q24" s="22">
        <v>1</v>
      </c>
      <c r="R24" s="22">
        <v>1</v>
      </c>
      <c r="S24" s="22">
        <v>1</v>
      </c>
      <c r="T24" s="23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1"/>
      <c r="AM24" s="21"/>
      <c r="AN24" s="22"/>
    </row>
    <row r="25" spans="1:40" x14ac:dyDescent="0.3">
      <c r="A25" s="53"/>
      <c r="B25" s="53"/>
      <c r="C25" s="50" t="s">
        <v>20</v>
      </c>
      <c r="D25" s="50"/>
      <c r="E25" s="51" t="s">
        <v>46</v>
      </c>
      <c r="F25" s="51"/>
      <c r="G25" s="22">
        <v>6</v>
      </c>
      <c r="H25" s="22">
        <v>10</v>
      </c>
      <c r="I25" s="22">
        <v>10</v>
      </c>
      <c r="J25" s="22">
        <v>10</v>
      </c>
      <c r="K25" s="22">
        <v>10</v>
      </c>
      <c r="L25" s="22">
        <v>10</v>
      </c>
      <c r="M25" s="22">
        <v>10</v>
      </c>
      <c r="N25" s="22">
        <v>10</v>
      </c>
      <c r="O25" s="22">
        <v>10</v>
      </c>
      <c r="P25" s="22">
        <v>10</v>
      </c>
      <c r="Q25" s="22">
        <v>10</v>
      </c>
      <c r="R25" s="22">
        <v>10</v>
      </c>
      <c r="S25" s="22">
        <v>10</v>
      </c>
      <c r="T25" s="22">
        <v>10</v>
      </c>
      <c r="U25" s="22">
        <v>10</v>
      </c>
      <c r="V25" s="22">
        <v>6</v>
      </c>
      <c r="W25" s="23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1"/>
      <c r="AM25" s="21"/>
      <c r="AN25" s="22"/>
    </row>
    <row r="26" spans="1:40" x14ac:dyDescent="0.3">
      <c r="A26" s="53"/>
      <c r="B26" s="53"/>
      <c r="C26" s="50"/>
      <c r="D26" s="50"/>
      <c r="E26" s="51"/>
      <c r="F26" s="5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4">
        <v>4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1"/>
      <c r="AM26" s="21"/>
      <c r="AN26" s="22"/>
    </row>
    <row r="27" spans="1:40" x14ac:dyDescent="0.3">
      <c r="A27" s="53"/>
      <c r="B27" s="53" t="s">
        <v>21</v>
      </c>
      <c r="C27" s="50" t="s">
        <v>61</v>
      </c>
      <c r="D27" s="50"/>
      <c r="E27" s="51" t="s">
        <v>92</v>
      </c>
      <c r="F27" s="51"/>
      <c r="G27" s="22">
        <v>2</v>
      </c>
      <c r="H27" s="22">
        <v>2</v>
      </c>
      <c r="I27" s="22">
        <v>2</v>
      </c>
      <c r="J27" s="22">
        <v>2</v>
      </c>
      <c r="K27" s="22">
        <v>2</v>
      </c>
      <c r="L27" s="22">
        <v>2</v>
      </c>
      <c r="M27" s="22">
        <v>2</v>
      </c>
      <c r="N27" s="22">
        <v>2</v>
      </c>
      <c r="O27" s="22">
        <v>2</v>
      </c>
      <c r="P27" s="22">
        <v>2</v>
      </c>
      <c r="Q27" s="22">
        <v>2</v>
      </c>
      <c r="R27" s="22">
        <v>2</v>
      </c>
      <c r="S27" s="22">
        <v>2</v>
      </c>
      <c r="T27" s="22">
        <v>2</v>
      </c>
      <c r="U27" s="23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1"/>
      <c r="AM27" s="21"/>
      <c r="AN27" s="22"/>
    </row>
    <row r="28" spans="1:40" x14ac:dyDescent="0.3">
      <c r="A28" s="53"/>
      <c r="B28" s="53"/>
      <c r="C28" s="50" t="s">
        <v>62</v>
      </c>
      <c r="D28" s="50"/>
      <c r="E28" s="51" t="s">
        <v>92</v>
      </c>
      <c r="F28" s="51"/>
      <c r="G28" s="22">
        <v>2</v>
      </c>
      <c r="H28" s="22">
        <v>2</v>
      </c>
      <c r="I28" s="22">
        <v>2</v>
      </c>
      <c r="J28" s="22">
        <v>2</v>
      </c>
      <c r="K28" s="22">
        <v>2</v>
      </c>
      <c r="L28" s="22">
        <v>2</v>
      </c>
      <c r="M28" s="22">
        <v>2</v>
      </c>
      <c r="N28" s="22">
        <v>2</v>
      </c>
      <c r="O28" s="22">
        <v>2</v>
      </c>
      <c r="P28" s="22">
        <v>2</v>
      </c>
      <c r="Q28" s="22">
        <v>2</v>
      </c>
      <c r="R28" s="22">
        <v>2</v>
      </c>
      <c r="S28" s="22">
        <v>2</v>
      </c>
      <c r="T28" s="22">
        <v>2</v>
      </c>
      <c r="U28" s="22">
        <v>2</v>
      </c>
      <c r="V28" s="23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1"/>
      <c r="AM28" s="21"/>
      <c r="AN28" s="22"/>
    </row>
    <row r="29" spans="1:40" x14ac:dyDescent="0.3">
      <c r="A29" s="53"/>
      <c r="B29" s="53"/>
      <c r="C29" s="50" t="s">
        <v>63</v>
      </c>
      <c r="D29" s="50"/>
      <c r="E29" s="51" t="s">
        <v>92</v>
      </c>
      <c r="F29" s="51"/>
      <c r="G29" s="22">
        <v>2</v>
      </c>
      <c r="H29" s="22">
        <v>2</v>
      </c>
      <c r="I29" s="22">
        <v>2</v>
      </c>
      <c r="J29" s="22">
        <v>2</v>
      </c>
      <c r="K29" s="22">
        <v>2</v>
      </c>
      <c r="L29" s="22">
        <v>2</v>
      </c>
      <c r="M29" s="22">
        <v>2</v>
      </c>
      <c r="N29" s="22">
        <v>2</v>
      </c>
      <c r="O29" s="22">
        <v>2</v>
      </c>
      <c r="P29" s="22">
        <v>2</v>
      </c>
      <c r="Q29" s="22">
        <v>2</v>
      </c>
      <c r="R29" s="22">
        <v>2</v>
      </c>
      <c r="S29" s="22">
        <v>2</v>
      </c>
      <c r="T29" s="22">
        <v>2</v>
      </c>
      <c r="U29" s="22">
        <v>2</v>
      </c>
      <c r="V29" s="22">
        <v>2</v>
      </c>
      <c r="W29" s="23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1"/>
      <c r="AM29" s="21"/>
      <c r="AN29" s="22"/>
    </row>
    <row r="30" spans="1:40" x14ac:dyDescent="0.3">
      <c r="A30" s="53"/>
      <c r="B30" s="53"/>
      <c r="C30" s="50" t="s">
        <v>64</v>
      </c>
      <c r="D30" s="50"/>
      <c r="E30" s="51" t="s">
        <v>93</v>
      </c>
      <c r="F30" s="51"/>
      <c r="G30" s="22">
        <v>2</v>
      </c>
      <c r="H30" s="22">
        <v>2</v>
      </c>
      <c r="I30" s="22">
        <v>2</v>
      </c>
      <c r="J30" s="22">
        <v>2</v>
      </c>
      <c r="K30" s="22">
        <v>2</v>
      </c>
      <c r="L30" s="22">
        <v>2</v>
      </c>
      <c r="M30" s="22">
        <v>2</v>
      </c>
      <c r="N30" s="22">
        <v>2</v>
      </c>
      <c r="O30" s="22">
        <v>2</v>
      </c>
      <c r="P30" s="22">
        <v>2</v>
      </c>
      <c r="Q30" s="22">
        <v>2</v>
      </c>
      <c r="R30" s="22">
        <v>2</v>
      </c>
      <c r="S30" s="22">
        <v>2</v>
      </c>
      <c r="T30" s="22">
        <v>2</v>
      </c>
      <c r="U30" s="22">
        <v>2</v>
      </c>
      <c r="V30" s="22">
        <v>2</v>
      </c>
      <c r="W30" s="22">
        <v>2</v>
      </c>
      <c r="X30" s="22">
        <v>2</v>
      </c>
      <c r="Y30" s="22">
        <v>2</v>
      </c>
      <c r="Z30" s="23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1"/>
      <c r="AM30" s="21"/>
      <c r="AN30" s="22"/>
    </row>
    <row r="31" spans="1:40" x14ac:dyDescent="0.3">
      <c r="A31" s="53"/>
      <c r="B31" s="53"/>
      <c r="C31" s="50" t="s">
        <v>65</v>
      </c>
      <c r="D31" s="50"/>
      <c r="E31" s="51" t="s">
        <v>92</v>
      </c>
      <c r="F31" s="51"/>
      <c r="G31" s="22">
        <v>2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3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1"/>
      <c r="AM31" s="21"/>
      <c r="AN31" s="22"/>
    </row>
    <row r="32" spans="1:40" x14ac:dyDescent="0.3">
      <c r="A32" s="53"/>
      <c r="B32" s="53"/>
      <c r="C32" s="50" t="s">
        <v>66</v>
      </c>
      <c r="D32" s="50"/>
      <c r="E32" s="51" t="s">
        <v>94</v>
      </c>
      <c r="F32" s="51"/>
      <c r="G32" s="22">
        <v>2</v>
      </c>
      <c r="H32" s="22">
        <v>1</v>
      </c>
      <c r="I32" s="22">
        <v>1</v>
      </c>
      <c r="J32" s="22">
        <v>1</v>
      </c>
      <c r="K32" s="22">
        <v>1</v>
      </c>
      <c r="L32" s="22">
        <v>1</v>
      </c>
      <c r="M32" s="22">
        <v>1</v>
      </c>
      <c r="N32" s="22">
        <v>1</v>
      </c>
      <c r="O32" s="22">
        <v>1</v>
      </c>
      <c r="P32" s="22">
        <v>1</v>
      </c>
      <c r="Q32" s="22">
        <v>1</v>
      </c>
      <c r="R32" s="22">
        <v>1</v>
      </c>
      <c r="S32" s="22">
        <v>1</v>
      </c>
      <c r="T32" s="22">
        <v>1</v>
      </c>
      <c r="U32" s="22">
        <v>1</v>
      </c>
      <c r="V32" s="22">
        <v>1</v>
      </c>
      <c r="W32" s="22">
        <v>1</v>
      </c>
      <c r="X32" s="22">
        <v>1</v>
      </c>
      <c r="Y32" s="22">
        <v>1</v>
      </c>
      <c r="Z32" s="22">
        <v>1</v>
      </c>
      <c r="AA32" s="22">
        <v>1</v>
      </c>
      <c r="AB32" s="22">
        <v>1</v>
      </c>
      <c r="AC32" s="22">
        <v>1</v>
      </c>
      <c r="AD32" s="23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1"/>
      <c r="AM32" s="21"/>
      <c r="AN32" s="22"/>
    </row>
    <row r="33" spans="1:40" x14ac:dyDescent="0.3">
      <c r="A33" s="53"/>
      <c r="B33" s="53"/>
      <c r="C33" s="29"/>
      <c r="D33" s="29"/>
      <c r="E33" s="51"/>
      <c r="F33" s="5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5">
        <v>1</v>
      </c>
      <c r="AE33" s="22"/>
      <c r="AF33" s="22"/>
      <c r="AG33" s="22"/>
      <c r="AH33" s="22"/>
      <c r="AI33" s="22"/>
      <c r="AJ33" s="22"/>
      <c r="AK33" s="22"/>
      <c r="AL33" s="21"/>
      <c r="AM33" s="21"/>
      <c r="AN33" s="22"/>
    </row>
    <row r="34" spans="1:40" x14ac:dyDescent="0.3">
      <c r="A34" s="53"/>
      <c r="B34" s="53"/>
      <c r="C34" s="29" t="s">
        <v>67</v>
      </c>
      <c r="D34" s="29"/>
      <c r="E34" s="22"/>
      <c r="F34" s="27" t="s">
        <v>93</v>
      </c>
      <c r="G34" s="22">
        <v>2</v>
      </c>
      <c r="H34" s="22">
        <v>2</v>
      </c>
      <c r="I34" s="22">
        <v>2</v>
      </c>
      <c r="J34" s="22">
        <v>2</v>
      </c>
      <c r="K34" s="22">
        <v>2</v>
      </c>
      <c r="L34" s="22">
        <v>2</v>
      </c>
      <c r="M34" s="22">
        <v>2</v>
      </c>
      <c r="N34" s="22">
        <v>2</v>
      </c>
      <c r="O34" s="22">
        <v>2</v>
      </c>
      <c r="P34" s="22">
        <v>2</v>
      </c>
      <c r="Q34" s="22">
        <v>2</v>
      </c>
      <c r="R34" s="22">
        <v>2</v>
      </c>
      <c r="S34" s="22">
        <v>2</v>
      </c>
      <c r="T34" s="22">
        <v>2</v>
      </c>
      <c r="U34" s="22">
        <v>2</v>
      </c>
      <c r="V34" s="22">
        <v>2</v>
      </c>
      <c r="W34" s="22">
        <v>2</v>
      </c>
      <c r="X34" s="22">
        <v>2</v>
      </c>
      <c r="Y34" s="22">
        <v>2</v>
      </c>
      <c r="Z34" s="22">
        <v>2</v>
      </c>
      <c r="AA34" s="22">
        <v>2</v>
      </c>
      <c r="AB34" s="22">
        <v>2</v>
      </c>
      <c r="AC34" s="22">
        <v>2</v>
      </c>
      <c r="AD34" s="22">
        <v>2</v>
      </c>
      <c r="AE34" s="22">
        <v>2</v>
      </c>
      <c r="AF34" s="30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1"/>
      <c r="AM34" s="21"/>
      <c r="AN34" s="22"/>
    </row>
    <row r="35" spans="1:40" x14ac:dyDescent="0.3">
      <c r="A35" s="53"/>
      <c r="B35" s="53"/>
      <c r="C35" s="50" t="s">
        <v>19</v>
      </c>
      <c r="D35" s="50"/>
      <c r="E35" s="51" t="s">
        <v>46</v>
      </c>
      <c r="F35" s="51"/>
      <c r="G35" s="22">
        <v>8</v>
      </c>
      <c r="H35" s="22">
        <v>10</v>
      </c>
      <c r="I35" s="22">
        <v>10</v>
      </c>
      <c r="J35" s="22">
        <v>10</v>
      </c>
      <c r="K35" s="22">
        <v>10</v>
      </c>
      <c r="L35" s="22">
        <v>10</v>
      </c>
      <c r="M35" s="22">
        <v>10</v>
      </c>
      <c r="N35" s="22">
        <v>10</v>
      </c>
      <c r="O35" s="22">
        <v>10</v>
      </c>
      <c r="P35" s="22">
        <v>10</v>
      </c>
      <c r="Q35" s="22">
        <v>10</v>
      </c>
      <c r="R35" s="22">
        <v>10</v>
      </c>
      <c r="S35" s="22">
        <v>10</v>
      </c>
      <c r="T35" s="22">
        <v>10</v>
      </c>
      <c r="U35" s="22">
        <v>10</v>
      </c>
      <c r="V35" s="22">
        <v>10</v>
      </c>
      <c r="W35" s="22">
        <v>10</v>
      </c>
      <c r="X35" s="22">
        <v>10</v>
      </c>
      <c r="Y35" s="22">
        <v>10</v>
      </c>
      <c r="Z35" s="22">
        <v>10</v>
      </c>
      <c r="AA35" s="22">
        <v>10</v>
      </c>
      <c r="AB35" s="22">
        <v>10</v>
      </c>
      <c r="AC35" s="22">
        <v>10</v>
      </c>
      <c r="AD35" s="22">
        <v>10</v>
      </c>
      <c r="AE35" s="22">
        <v>10</v>
      </c>
      <c r="AF35" s="22">
        <v>2</v>
      </c>
      <c r="AG35" s="23">
        <v>0</v>
      </c>
      <c r="AH35" s="22">
        <v>0</v>
      </c>
      <c r="AI35" s="22">
        <v>0</v>
      </c>
      <c r="AJ35" s="22">
        <v>0</v>
      </c>
      <c r="AK35" s="22">
        <v>0</v>
      </c>
      <c r="AL35" s="21"/>
      <c r="AM35" s="21"/>
      <c r="AN35" s="22"/>
    </row>
    <row r="36" spans="1:40" x14ac:dyDescent="0.3">
      <c r="A36" s="53"/>
      <c r="B36" s="53"/>
      <c r="C36" s="50"/>
      <c r="D36" s="50"/>
      <c r="E36" s="51"/>
      <c r="F36" s="5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4">
        <v>2</v>
      </c>
      <c r="AH36" s="22"/>
      <c r="AI36" s="22"/>
      <c r="AJ36" s="22"/>
      <c r="AK36" s="22"/>
      <c r="AL36" s="21"/>
      <c r="AM36" s="21"/>
      <c r="AN36" s="22"/>
    </row>
    <row r="37" spans="1:40" x14ac:dyDescent="0.3">
      <c r="A37" s="53"/>
      <c r="B37" s="53" t="s">
        <v>25</v>
      </c>
      <c r="C37" s="50" t="s">
        <v>22</v>
      </c>
      <c r="D37" s="50"/>
      <c r="E37" s="51" t="s">
        <v>55</v>
      </c>
      <c r="F37" s="51"/>
      <c r="G37" s="22">
        <v>3</v>
      </c>
      <c r="H37" s="22">
        <v>2</v>
      </c>
      <c r="I37" s="22">
        <v>2</v>
      </c>
      <c r="J37" s="22">
        <v>2</v>
      </c>
      <c r="K37" s="22">
        <v>2</v>
      </c>
      <c r="L37" s="22">
        <v>2</v>
      </c>
      <c r="M37" s="22">
        <v>2</v>
      </c>
      <c r="N37" s="22">
        <v>2</v>
      </c>
      <c r="O37" s="22">
        <v>2</v>
      </c>
      <c r="P37" s="22">
        <v>2</v>
      </c>
      <c r="Q37" s="22">
        <v>2</v>
      </c>
      <c r="R37" s="22">
        <v>2</v>
      </c>
      <c r="S37" s="22">
        <v>2</v>
      </c>
      <c r="T37" s="22">
        <v>2</v>
      </c>
      <c r="U37" s="22">
        <v>2</v>
      </c>
      <c r="V37" s="23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1"/>
      <c r="AM37" s="21"/>
      <c r="AN37" s="22"/>
    </row>
    <row r="38" spans="1:40" x14ac:dyDescent="0.3">
      <c r="A38" s="53"/>
      <c r="B38" s="53"/>
      <c r="C38" s="50"/>
      <c r="D38" s="50"/>
      <c r="E38" s="51"/>
      <c r="F38" s="5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5">
        <v>1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1"/>
      <c r="AM38" s="21"/>
      <c r="AN38" s="22"/>
    </row>
    <row r="39" spans="1:40" x14ac:dyDescent="0.3">
      <c r="A39" s="53"/>
      <c r="B39" s="53"/>
      <c r="C39" s="50" t="s">
        <v>23</v>
      </c>
      <c r="D39" s="50"/>
      <c r="E39" s="51" t="s">
        <v>55</v>
      </c>
      <c r="F39" s="51"/>
      <c r="G39" s="22">
        <v>3</v>
      </c>
      <c r="H39" s="22">
        <v>2</v>
      </c>
      <c r="I39" s="22">
        <v>2</v>
      </c>
      <c r="J39" s="22">
        <v>2</v>
      </c>
      <c r="K39" s="22">
        <v>2</v>
      </c>
      <c r="L39" s="22">
        <v>2</v>
      </c>
      <c r="M39" s="22">
        <v>2</v>
      </c>
      <c r="N39" s="22">
        <v>2</v>
      </c>
      <c r="O39" s="22">
        <v>2</v>
      </c>
      <c r="P39" s="22">
        <v>2</v>
      </c>
      <c r="Q39" s="22">
        <v>2</v>
      </c>
      <c r="R39" s="22">
        <v>2</v>
      </c>
      <c r="S39" s="22">
        <v>2</v>
      </c>
      <c r="T39" s="22">
        <v>2</v>
      </c>
      <c r="U39" s="22">
        <v>2</v>
      </c>
      <c r="V39" s="23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1"/>
      <c r="AM39" s="21"/>
      <c r="AN39" s="22"/>
    </row>
    <row r="40" spans="1:40" x14ac:dyDescent="0.3">
      <c r="A40" s="53"/>
      <c r="B40" s="53"/>
      <c r="C40" s="50"/>
      <c r="D40" s="50"/>
      <c r="E40" s="51"/>
      <c r="F40" s="5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5">
        <v>1</v>
      </c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1"/>
      <c r="AM40" s="21"/>
      <c r="AN40" s="22"/>
    </row>
    <row r="41" spans="1:40" x14ac:dyDescent="0.3">
      <c r="A41" s="53"/>
      <c r="B41" s="53"/>
      <c r="C41" s="50" t="s">
        <v>99</v>
      </c>
      <c r="D41" s="50"/>
      <c r="E41" s="51" t="s">
        <v>55</v>
      </c>
      <c r="F41" s="51"/>
      <c r="G41" s="22">
        <v>1</v>
      </c>
      <c r="H41" s="22">
        <v>2</v>
      </c>
      <c r="I41" s="22">
        <v>2</v>
      </c>
      <c r="J41" s="22">
        <v>2</v>
      </c>
      <c r="K41" s="22">
        <v>2</v>
      </c>
      <c r="L41" s="22">
        <v>2</v>
      </c>
      <c r="M41" s="22">
        <v>2</v>
      </c>
      <c r="N41" s="22">
        <v>2</v>
      </c>
      <c r="O41" s="22">
        <v>2</v>
      </c>
      <c r="P41" s="22">
        <v>2</v>
      </c>
      <c r="Q41" s="22">
        <v>2</v>
      </c>
      <c r="R41" s="22">
        <v>2</v>
      </c>
      <c r="S41" s="22">
        <v>2</v>
      </c>
      <c r="T41" s="22">
        <v>2</v>
      </c>
      <c r="U41" s="22">
        <v>2</v>
      </c>
      <c r="V41" s="22">
        <v>2</v>
      </c>
      <c r="W41" s="23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1"/>
      <c r="AM41" s="21"/>
      <c r="AN41" s="22"/>
    </row>
    <row r="42" spans="1:40" x14ac:dyDescent="0.3">
      <c r="A42" s="53"/>
      <c r="B42" s="53"/>
      <c r="C42" s="50"/>
      <c r="D42" s="50"/>
      <c r="E42" s="51"/>
      <c r="F42" s="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4">
        <v>1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1"/>
      <c r="AM42" s="21"/>
      <c r="AN42" s="22"/>
    </row>
    <row r="43" spans="1:40" x14ac:dyDescent="0.3">
      <c r="A43" s="53"/>
      <c r="B43" s="53"/>
      <c r="C43" s="50" t="s">
        <v>100</v>
      </c>
      <c r="D43" s="50"/>
      <c r="E43" s="51" t="s">
        <v>55</v>
      </c>
      <c r="F43" s="51"/>
      <c r="G43" s="22">
        <v>3</v>
      </c>
      <c r="H43" s="22">
        <v>2</v>
      </c>
      <c r="I43" s="22">
        <v>2</v>
      </c>
      <c r="J43" s="22">
        <v>2</v>
      </c>
      <c r="K43" s="22">
        <v>2</v>
      </c>
      <c r="L43" s="22">
        <v>2</v>
      </c>
      <c r="M43" s="22">
        <v>2</v>
      </c>
      <c r="N43" s="22">
        <v>2</v>
      </c>
      <c r="O43" s="22">
        <v>2</v>
      </c>
      <c r="P43" s="22">
        <v>2</v>
      </c>
      <c r="Q43" s="22">
        <v>2</v>
      </c>
      <c r="R43" s="22">
        <v>2</v>
      </c>
      <c r="S43" s="22">
        <v>2</v>
      </c>
      <c r="T43" s="22">
        <v>2</v>
      </c>
      <c r="U43" s="22">
        <v>2</v>
      </c>
      <c r="V43" s="22">
        <v>2</v>
      </c>
      <c r="W43" s="23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1"/>
      <c r="AM43" s="21"/>
      <c r="AN43" s="22"/>
    </row>
    <row r="44" spans="1:40" x14ac:dyDescent="0.3">
      <c r="A44" s="53"/>
      <c r="B44" s="53"/>
      <c r="C44" s="50"/>
      <c r="D44" s="50"/>
      <c r="E44" s="51"/>
      <c r="F44" s="5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5">
        <v>1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1"/>
      <c r="AM44" s="21"/>
      <c r="AN44" s="22"/>
    </row>
    <row r="45" spans="1:40" x14ac:dyDescent="0.3">
      <c r="A45" s="53"/>
      <c r="B45" s="53"/>
      <c r="C45" s="50" t="s">
        <v>68</v>
      </c>
      <c r="D45" s="50"/>
      <c r="E45" s="51" t="s">
        <v>55</v>
      </c>
      <c r="F45" s="51"/>
      <c r="G45" s="22">
        <v>2</v>
      </c>
      <c r="H45" s="22">
        <v>2</v>
      </c>
      <c r="I45" s="22">
        <v>2</v>
      </c>
      <c r="J45" s="22">
        <v>2</v>
      </c>
      <c r="K45" s="22">
        <v>2</v>
      </c>
      <c r="L45" s="22">
        <v>2</v>
      </c>
      <c r="M45" s="22">
        <v>2</v>
      </c>
      <c r="N45" s="22">
        <v>2</v>
      </c>
      <c r="O45" s="22">
        <v>2</v>
      </c>
      <c r="P45" s="22">
        <v>2</v>
      </c>
      <c r="Q45" s="22">
        <v>2</v>
      </c>
      <c r="R45" s="22">
        <v>2</v>
      </c>
      <c r="S45" s="22">
        <v>2</v>
      </c>
      <c r="T45" s="22">
        <v>2</v>
      </c>
      <c r="U45" s="22">
        <v>2</v>
      </c>
      <c r="V45" s="22">
        <v>2</v>
      </c>
      <c r="W45" s="23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1"/>
      <c r="AM45" s="21"/>
      <c r="AN45" s="22"/>
    </row>
    <row r="46" spans="1:40" x14ac:dyDescent="0.3">
      <c r="A46" s="53"/>
      <c r="B46" s="53"/>
      <c r="C46" s="50" t="s">
        <v>69</v>
      </c>
      <c r="D46" s="50"/>
      <c r="E46" s="51" t="s">
        <v>55</v>
      </c>
      <c r="F46" s="51"/>
      <c r="G46" s="22">
        <v>2</v>
      </c>
      <c r="H46" s="22">
        <v>2</v>
      </c>
      <c r="I46" s="22">
        <v>2</v>
      </c>
      <c r="J46" s="22">
        <v>2</v>
      </c>
      <c r="K46" s="22">
        <v>2</v>
      </c>
      <c r="L46" s="22">
        <v>2</v>
      </c>
      <c r="M46" s="22">
        <v>2</v>
      </c>
      <c r="N46" s="22">
        <v>2</v>
      </c>
      <c r="O46" s="22">
        <v>2</v>
      </c>
      <c r="P46" s="22">
        <v>2</v>
      </c>
      <c r="Q46" s="22">
        <v>2</v>
      </c>
      <c r="R46" s="22">
        <v>2</v>
      </c>
      <c r="S46" s="22">
        <v>2</v>
      </c>
      <c r="T46" s="22">
        <v>2</v>
      </c>
      <c r="U46" s="22">
        <v>2</v>
      </c>
      <c r="V46" s="22">
        <v>2</v>
      </c>
      <c r="W46" s="23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1"/>
      <c r="AM46" s="21"/>
      <c r="AN46" s="22"/>
    </row>
    <row r="47" spans="1:40" x14ac:dyDescent="0.3">
      <c r="A47" s="53"/>
      <c r="B47" s="53"/>
      <c r="C47" s="50" t="s">
        <v>72</v>
      </c>
      <c r="D47" s="50"/>
      <c r="E47" s="51" t="s">
        <v>54</v>
      </c>
      <c r="F47" s="51"/>
      <c r="G47" s="22">
        <v>4</v>
      </c>
      <c r="H47" s="22">
        <v>4</v>
      </c>
      <c r="I47" s="22">
        <v>4</v>
      </c>
      <c r="J47" s="22">
        <v>4</v>
      </c>
      <c r="K47" s="22">
        <v>4</v>
      </c>
      <c r="L47" s="22">
        <v>4</v>
      </c>
      <c r="M47" s="22">
        <v>4</v>
      </c>
      <c r="N47" s="22">
        <v>4</v>
      </c>
      <c r="O47" s="22">
        <v>4</v>
      </c>
      <c r="P47" s="22">
        <v>4</v>
      </c>
      <c r="Q47" s="22">
        <v>4</v>
      </c>
      <c r="R47" s="22">
        <v>4</v>
      </c>
      <c r="S47" s="22">
        <v>4</v>
      </c>
      <c r="T47" s="22">
        <v>4</v>
      </c>
      <c r="U47" s="22">
        <v>4</v>
      </c>
      <c r="V47" s="22">
        <v>4</v>
      </c>
      <c r="W47" s="22">
        <v>4</v>
      </c>
      <c r="X47" s="22">
        <v>4</v>
      </c>
      <c r="Y47" s="22">
        <v>4</v>
      </c>
      <c r="Z47" s="23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1"/>
      <c r="AM47" s="21"/>
      <c r="AN47" s="22"/>
    </row>
    <row r="48" spans="1:40" x14ac:dyDescent="0.3">
      <c r="A48" s="53"/>
      <c r="B48" s="53"/>
      <c r="C48" s="50" t="s">
        <v>72</v>
      </c>
      <c r="D48" s="50"/>
      <c r="E48" s="51" t="s">
        <v>54</v>
      </c>
      <c r="F48" s="51"/>
      <c r="G48" s="22">
        <v>4</v>
      </c>
      <c r="H48" s="22">
        <v>4</v>
      </c>
      <c r="I48" s="22">
        <v>4</v>
      </c>
      <c r="J48" s="22">
        <v>4</v>
      </c>
      <c r="K48" s="22">
        <v>4</v>
      </c>
      <c r="L48" s="22">
        <v>4</v>
      </c>
      <c r="M48" s="22">
        <v>4</v>
      </c>
      <c r="N48" s="22">
        <v>4</v>
      </c>
      <c r="O48" s="22">
        <v>4</v>
      </c>
      <c r="P48" s="22">
        <v>4</v>
      </c>
      <c r="Q48" s="22">
        <v>4</v>
      </c>
      <c r="R48" s="22">
        <v>4</v>
      </c>
      <c r="S48" s="22">
        <v>4</v>
      </c>
      <c r="T48" s="22">
        <v>4</v>
      </c>
      <c r="U48" s="22">
        <v>4</v>
      </c>
      <c r="V48" s="22">
        <v>4</v>
      </c>
      <c r="W48" s="22">
        <v>4</v>
      </c>
      <c r="X48" s="22">
        <v>4</v>
      </c>
      <c r="Y48" s="22">
        <v>4</v>
      </c>
      <c r="Z48" s="23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1"/>
      <c r="AM48" s="21"/>
      <c r="AN48" s="22"/>
    </row>
    <row r="49" spans="1:40" x14ac:dyDescent="0.3">
      <c r="A49" s="53"/>
      <c r="B49" s="53"/>
      <c r="C49" s="50" t="s">
        <v>70</v>
      </c>
      <c r="D49" s="50"/>
      <c r="E49" s="51" t="s">
        <v>55</v>
      </c>
      <c r="F49" s="51"/>
      <c r="G49" s="22">
        <v>4</v>
      </c>
      <c r="H49" s="22">
        <v>4</v>
      </c>
      <c r="I49" s="22">
        <v>4</v>
      </c>
      <c r="J49" s="22">
        <v>4</v>
      </c>
      <c r="K49" s="22">
        <v>4</v>
      </c>
      <c r="L49" s="22">
        <v>4</v>
      </c>
      <c r="M49" s="22">
        <v>4</v>
      </c>
      <c r="N49" s="22">
        <v>4</v>
      </c>
      <c r="O49" s="22">
        <v>4</v>
      </c>
      <c r="P49" s="22">
        <v>4</v>
      </c>
      <c r="Q49" s="22">
        <v>4</v>
      </c>
      <c r="R49" s="22">
        <v>4</v>
      </c>
      <c r="S49" s="22">
        <v>4</v>
      </c>
      <c r="T49" s="22">
        <v>4</v>
      </c>
      <c r="U49" s="22">
        <v>4</v>
      </c>
      <c r="V49" s="22">
        <v>4</v>
      </c>
      <c r="W49" s="22">
        <v>4</v>
      </c>
      <c r="X49" s="22">
        <v>4</v>
      </c>
      <c r="Y49" s="22">
        <v>4</v>
      </c>
      <c r="Z49" s="22">
        <v>4</v>
      </c>
      <c r="AA49" s="22">
        <v>4</v>
      </c>
      <c r="AB49" s="23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1"/>
      <c r="AM49" s="21"/>
      <c r="AN49" s="22"/>
    </row>
    <row r="50" spans="1:40" x14ac:dyDescent="0.3">
      <c r="A50" s="53"/>
      <c r="B50" s="53"/>
      <c r="C50" s="50" t="s">
        <v>71</v>
      </c>
      <c r="D50" s="50"/>
      <c r="E50" s="51" t="s">
        <v>55</v>
      </c>
      <c r="F50" s="51"/>
      <c r="G50" s="22">
        <v>4</v>
      </c>
      <c r="H50" s="22">
        <v>4</v>
      </c>
      <c r="I50" s="22">
        <v>4</v>
      </c>
      <c r="J50" s="22">
        <v>4</v>
      </c>
      <c r="K50" s="22">
        <v>4</v>
      </c>
      <c r="L50" s="22">
        <v>4</v>
      </c>
      <c r="M50" s="22">
        <v>4</v>
      </c>
      <c r="N50" s="22">
        <v>4</v>
      </c>
      <c r="O50" s="22">
        <v>4</v>
      </c>
      <c r="P50" s="22">
        <v>4</v>
      </c>
      <c r="Q50" s="22">
        <v>4</v>
      </c>
      <c r="R50" s="22">
        <v>4</v>
      </c>
      <c r="S50" s="22">
        <v>4</v>
      </c>
      <c r="T50" s="22">
        <v>4</v>
      </c>
      <c r="U50" s="22">
        <v>4</v>
      </c>
      <c r="V50" s="22">
        <v>4</v>
      </c>
      <c r="W50" s="22">
        <v>4</v>
      </c>
      <c r="X50" s="22">
        <v>4</v>
      </c>
      <c r="Y50" s="22">
        <v>4</v>
      </c>
      <c r="Z50" s="22">
        <v>4</v>
      </c>
      <c r="AA50" s="22">
        <v>4</v>
      </c>
      <c r="AB50" s="23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1"/>
      <c r="AM50" s="21"/>
      <c r="AN50" s="22"/>
    </row>
    <row r="51" spans="1:40" x14ac:dyDescent="0.3">
      <c r="A51" s="53"/>
      <c r="B51" s="53"/>
      <c r="C51" s="50" t="s">
        <v>78</v>
      </c>
      <c r="D51" s="50"/>
      <c r="E51" s="51" t="s">
        <v>91</v>
      </c>
      <c r="F51" s="51"/>
      <c r="G51" s="22">
        <v>4</v>
      </c>
      <c r="H51" s="22">
        <v>4</v>
      </c>
      <c r="I51" s="22">
        <v>4</v>
      </c>
      <c r="J51" s="22">
        <v>4</v>
      </c>
      <c r="K51" s="22">
        <v>4</v>
      </c>
      <c r="L51" s="22">
        <v>4</v>
      </c>
      <c r="M51" s="22">
        <v>4</v>
      </c>
      <c r="N51" s="22">
        <v>4</v>
      </c>
      <c r="O51" s="22">
        <v>4</v>
      </c>
      <c r="P51" s="22">
        <v>4</v>
      </c>
      <c r="Q51" s="22">
        <v>4</v>
      </c>
      <c r="R51" s="22">
        <v>4</v>
      </c>
      <c r="S51" s="22">
        <v>4</v>
      </c>
      <c r="T51" s="22">
        <v>4</v>
      </c>
      <c r="U51" s="22">
        <v>4</v>
      </c>
      <c r="V51" s="22">
        <v>4</v>
      </c>
      <c r="W51" s="22">
        <v>4</v>
      </c>
      <c r="X51" s="22">
        <v>4</v>
      </c>
      <c r="Y51" s="22">
        <v>4</v>
      </c>
      <c r="Z51" s="22">
        <v>4</v>
      </c>
      <c r="AA51" s="22">
        <v>4</v>
      </c>
      <c r="AB51" s="22">
        <v>4</v>
      </c>
      <c r="AC51" s="23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1"/>
      <c r="AM51" s="21"/>
      <c r="AN51" s="22"/>
    </row>
    <row r="52" spans="1:40" x14ac:dyDescent="0.3">
      <c r="A52" s="53"/>
      <c r="B52" s="53"/>
      <c r="C52" s="50" t="s">
        <v>79</v>
      </c>
      <c r="D52" s="50"/>
      <c r="E52" s="51" t="s">
        <v>91</v>
      </c>
      <c r="F52" s="51"/>
      <c r="G52" s="22">
        <v>4</v>
      </c>
      <c r="H52" s="22">
        <v>4</v>
      </c>
      <c r="I52" s="22">
        <v>4</v>
      </c>
      <c r="J52" s="22">
        <v>4</v>
      </c>
      <c r="K52" s="22">
        <v>4</v>
      </c>
      <c r="L52" s="22">
        <v>4</v>
      </c>
      <c r="M52" s="22">
        <v>4</v>
      </c>
      <c r="N52" s="22">
        <v>4</v>
      </c>
      <c r="O52" s="22">
        <v>4</v>
      </c>
      <c r="P52" s="22">
        <v>4</v>
      </c>
      <c r="Q52" s="22">
        <v>4</v>
      </c>
      <c r="R52" s="22">
        <v>4</v>
      </c>
      <c r="S52" s="22">
        <v>4</v>
      </c>
      <c r="T52" s="22">
        <v>4</v>
      </c>
      <c r="U52" s="22">
        <v>4</v>
      </c>
      <c r="V52" s="22">
        <v>4</v>
      </c>
      <c r="W52" s="22">
        <v>4</v>
      </c>
      <c r="X52" s="22">
        <v>4</v>
      </c>
      <c r="Y52" s="22">
        <v>4</v>
      </c>
      <c r="Z52" s="22">
        <v>4</v>
      </c>
      <c r="AA52" s="22">
        <v>4</v>
      </c>
      <c r="AB52" s="22">
        <v>4</v>
      </c>
      <c r="AC52" s="23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1"/>
      <c r="AM52" s="21"/>
      <c r="AN52" s="22"/>
    </row>
    <row r="53" spans="1:40" x14ac:dyDescent="0.3">
      <c r="A53" s="53"/>
      <c r="B53" s="53"/>
      <c r="C53" s="29" t="s">
        <v>80</v>
      </c>
      <c r="D53" s="29"/>
      <c r="E53" s="51" t="s">
        <v>54</v>
      </c>
      <c r="F53" s="51"/>
      <c r="G53" s="22">
        <v>4</v>
      </c>
      <c r="H53" s="22">
        <v>4</v>
      </c>
      <c r="I53" s="22">
        <v>4</v>
      </c>
      <c r="J53" s="22">
        <v>4</v>
      </c>
      <c r="K53" s="22">
        <v>4</v>
      </c>
      <c r="L53" s="22">
        <v>4</v>
      </c>
      <c r="M53" s="22">
        <v>4</v>
      </c>
      <c r="N53" s="22">
        <v>4</v>
      </c>
      <c r="O53" s="22">
        <v>4</v>
      </c>
      <c r="P53" s="22">
        <v>4</v>
      </c>
      <c r="Q53" s="22">
        <v>4</v>
      </c>
      <c r="R53" s="22">
        <v>4</v>
      </c>
      <c r="S53" s="22">
        <v>4</v>
      </c>
      <c r="T53" s="22">
        <v>4</v>
      </c>
      <c r="U53" s="22">
        <v>4</v>
      </c>
      <c r="V53" s="22">
        <v>4</v>
      </c>
      <c r="W53" s="22">
        <v>4</v>
      </c>
      <c r="X53" s="22">
        <v>4</v>
      </c>
      <c r="Y53" s="22">
        <v>4</v>
      </c>
      <c r="Z53" s="22">
        <v>4</v>
      </c>
      <c r="AA53" s="22">
        <v>4</v>
      </c>
      <c r="AB53" s="22">
        <v>4</v>
      </c>
      <c r="AC53" s="22">
        <v>4</v>
      </c>
      <c r="AD53" s="22">
        <v>4</v>
      </c>
      <c r="AE53" s="22">
        <v>4</v>
      </c>
      <c r="AF53" s="23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1"/>
      <c r="AM53" s="21"/>
      <c r="AN53" s="22"/>
    </row>
    <row r="54" spans="1:40" x14ac:dyDescent="0.3">
      <c r="A54" s="53"/>
      <c r="B54" s="53"/>
      <c r="C54" s="1" t="s">
        <v>81</v>
      </c>
      <c r="D54" s="29"/>
      <c r="E54" s="51" t="s">
        <v>54</v>
      </c>
      <c r="F54" s="51"/>
      <c r="G54" s="22">
        <v>4</v>
      </c>
      <c r="H54" s="22">
        <v>4</v>
      </c>
      <c r="I54" s="22">
        <v>4</v>
      </c>
      <c r="J54" s="22">
        <v>4</v>
      </c>
      <c r="K54" s="22">
        <v>4</v>
      </c>
      <c r="L54" s="22">
        <v>4</v>
      </c>
      <c r="M54" s="22">
        <v>4</v>
      </c>
      <c r="N54" s="22">
        <v>4</v>
      </c>
      <c r="O54" s="22">
        <v>4</v>
      </c>
      <c r="P54" s="22">
        <v>4</v>
      </c>
      <c r="Q54" s="22">
        <v>4</v>
      </c>
      <c r="R54" s="22">
        <v>4</v>
      </c>
      <c r="S54" s="22">
        <v>4</v>
      </c>
      <c r="T54" s="22">
        <v>4</v>
      </c>
      <c r="U54" s="22">
        <v>4</v>
      </c>
      <c r="V54" s="22">
        <v>4</v>
      </c>
      <c r="W54" s="22">
        <v>4</v>
      </c>
      <c r="X54" s="22">
        <v>4</v>
      </c>
      <c r="Y54" s="22">
        <v>4</v>
      </c>
      <c r="Z54" s="22">
        <v>4</v>
      </c>
      <c r="AA54" s="22">
        <v>4</v>
      </c>
      <c r="AB54" s="22">
        <v>4</v>
      </c>
      <c r="AC54" s="22">
        <v>4</v>
      </c>
      <c r="AD54" s="22">
        <v>4</v>
      </c>
      <c r="AE54" s="22">
        <v>4</v>
      </c>
      <c r="AF54" s="23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1"/>
      <c r="AM54" s="21"/>
      <c r="AN54" s="22"/>
    </row>
    <row r="55" spans="1:40" x14ac:dyDescent="0.3">
      <c r="A55" s="53"/>
      <c r="B55" s="53"/>
      <c r="C55" s="50" t="s">
        <v>24</v>
      </c>
      <c r="D55" s="50"/>
      <c r="E55" s="51" t="s">
        <v>46</v>
      </c>
      <c r="F55" s="51"/>
      <c r="G55" s="22">
        <v>8</v>
      </c>
      <c r="H55" s="22">
        <v>10</v>
      </c>
      <c r="I55" s="22">
        <v>10</v>
      </c>
      <c r="J55" s="22">
        <v>10</v>
      </c>
      <c r="K55" s="22">
        <v>10</v>
      </c>
      <c r="L55" s="22">
        <v>10</v>
      </c>
      <c r="M55" s="22">
        <v>10</v>
      </c>
      <c r="N55" s="22">
        <v>10</v>
      </c>
      <c r="O55" s="22">
        <v>10</v>
      </c>
      <c r="P55" s="22">
        <v>10</v>
      </c>
      <c r="Q55" s="22">
        <v>10</v>
      </c>
      <c r="R55" s="22">
        <v>10</v>
      </c>
      <c r="S55" s="22">
        <v>10</v>
      </c>
      <c r="T55" s="22">
        <v>10</v>
      </c>
      <c r="U55" s="22">
        <v>10</v>
      </c>
      <c r="V55" s="22">
        <v>10</v>
      </c>
      <c r="W55" s="22">
        <v>10</v>
      </c>
      <c r="X55" s="22">
        <v>10</v>
      </c>
      <c r="Y55" s="22">
        <v>10</v>
      </c>
      <c r="Z55" s="22">
        <v>10</v>
      </c>
      <c r="AA55" s="22">
        <v>10</v>
      </c>
      <c r="AB55" s="22">
        <v>10</v>
      </c>
      <c r="AC55" s="22">
        <v>10</v>
      </c>
      <c r="AD55" s="22">
        <v>10</v>
      </c>
      <c r="AE55" s="22">
        <v>10</v>
      </c>
      <c r="AF55" s="22">
        <v>10</v>
      </c>
      <c r="AG55" s="23">
        <v>0</v>
      </c>
      <c r="AH55" s="22">
        <v>0</v>
      </c>
      <c r="AI55" s="22">
        <v>0</v>
      </c>
      <c r="AJ55" s="22">
        <v>0</v>
      </c>
      <c r="AK55" s="22">
        <v>0</v>
      </c>
      <c r="AL55" s="21"/>
      <c r="AM55" s="21"/>
      <c r="AN55" s="22"/>
    </row>
    <row r="56" spans="1:40" x14ac:dyDescent="0.3">
      <c r="A56" s="53"/>
      <c r="B56" s="53"/>
      <c r="C56" s="51"/>
      <c r="D56" s="51"/>
      <c r="E56" s="51"/>
      <c r="F56" s="5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4">
        <v>2</v>
      </c>
      <c r="AH56" s="22"/>
      <c r="AI56" s="22"/>
      <c r="AJ56" s="22"/>
      <c r="AK56" s="22"/>
      <c r="AL56" s="21"/>
      <c r="AM56" s="21"/>
      <c r="AN56" s="22"/>
    </row>
    <row r="57" spans="1:40" x14ac:dyDescent="0.3">
      <c r="A57" s="53"/>
      <c r="B57" s="53" t="s">
        <v>28</v>
      </c>
      <c r="C57" s="50" t="s">
        <v>26</v>
      </c>
      <c r="D57" s="50"/>
      <c r="E57" s="51" t="s">
        <v>91</v>
      </c>
      <c r="F57" s="51"/>
      <c r="G57" s="22">
        <v>2</v>
      </c>
      <c r="H57" s="22">
        <v>2</v>
      </c>
      <c r="I57" s="22">
        <v>2</v>
      </c>
      <c r="J57" s="22">
        <v>2</v>
      </c>
      <c r="K57" s="22">
        <v>2</v>
      </c>
      <c r="L57" s="22">
        <v>2</v>
      </c>
      <c r="M57" s="22">
        <v>2</v>
      </c>
      <c r="N57" s="22">
        <v>2</v>
      </c>
      <c r="O57" s="22">
        <v>2</v>
      </c>
      <c r="P57" s="22">
        <v>2</v>
      </c>
      <c r="Q57" s="22">
        <v>2</v>
      </c>
      <c r="R57" s="22">
        <v>2</v>
      </c>
      <c r="S57" s="22">
        <v>2</v>
      </c>
      <c r="T57" s="22">
        <v>2</v>
      </c>
      <c r="U57" s="22">
        <v>2</v>
      </c>
      <c r="V57" s="23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1"/>
      <c r="AM57" s="21"/>
      <c r="AN57" s="22"/>
    </row>
    <row r="58" spans="1:40" x14ac:dyDescent="0.3">
      <c r="A58" s="53"/>
      <c r="B58" s="53"/>
      <c r="C58" s="50" t="s">
        <v>27</v>
      </c>
      <c r="D58" s="50"/>
      <c r="E58" s="51" t="s">
        <v>54</v>
      </c>
      <c r="F58" s="51"/>
      <c r="G58" s="22">
        <v>2</v>
      </c>
      <c r="H58" s="22">
        <v>2</v>
      </c>
      <c r="I58" s="22">
        <v>2</v>
      </c>
      <c r="J58" s="22">
        <v>2</v>
      </c>
      <c r="K58" s="22">
        <v>2</v>
      </c>
      <c r="L58" s="22">
        <v>2</v>
      </c>
      <c r="M58" s="22">
        <v>2</v>
      </c>
      <c r="N58" s="22">
        <v>2</v>
      </c>
      <c r="O58" s="22">
        <v>2</v>
      </c>
      <c r="P58" s="22">
        <v>2</v>
      </c>
      <c r="Q58" s="22">
        <v>2</v>
      </c>
      <c r="R58" s="22">
        <v>2</v>
      </c>
      <c r="S58" s="22">
        <v>2</v>
      </c>
      <c r="T58" s="22">
        <v>2</v>
      </c>
      <c r="U58" s="22">
        <v>2</v>
      </c>
      <c r="V58" s="22">
        <v>2</v>
      </c>
      <c r="W58" s="23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1"/>
      <c r="AM58" s="21"/>
      <c r="AN58" s="22"/>
    </row>
    <row r="59" spans="1:40" x14ac:dyDescent="0.3">
      <c r="A59" s="53"/>
      <c r="B59" s="53"/>
      <c r="C59" s="50" t="s">
        <v>73</v>
      </c>
      <c r="D59" s="50"/>
      <c r="E59" s="51" t="s">
        <v>91</v>
      </c>
      <c r="F59" s="51"/>
      <c r="G59" s="22">
        <v>2</v>
      </c>
      <c r="H59" s="22">
        <v>2</v>
      </c>
      <c r="I59" s="22">
        <v>2</v>
      </c>
      <c r="J59" s="22">
        <v>2</v>
      </c>
      <c r="K59" s="22">
        <v>2</v>
      </c>
      <c r="L59" s="22">
        <v>2</v>
      </c>
      <c r="M59" s="22">
        <v>2</v>
      </c>
      <c r="N59" s="22">
        <v>2</v>
      </c>
      <c r="O59" s="22">
        <v>2</v>
      </c>
      <c r="P59" s="22">
        <v>2</v>
      </c>
      <c r="Q59" s="22">
        <v>2</v>
      </c>
      <c r="R59" s="22">
        <v>2</v>
      </c>
      <c r="S59" s="22">
        <v>2</v>
      </c>
      <c r="T59" s="22">
        <v>2</v>
      </c>
      <c r="U59" s="22">
        <v>2</v>
      </c>
      <c r="V59" s="22">
        <v>2</v>
      </c>
      <c r="W59" s="22">
        <v>2</v>
      </c>
      <c r="X59" s="23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1"/>
      <c r="AM59" s="21"/>
      <c r="AN59" s="22"/>
    </row>
    <row r="60" spans="1:40" x14ac:dyDescent="0.3">
      <c r="A60" s="53"/>
      <c r="B60" s="53"/>
      <c r="C60" s="50" t="s">
        <v>74</v>
      </c>
      <c r="D60" s="50"/>
      <c r="E60" s="51" t="s">
        <v>93</v>
      </c>
      <c r="F60" s="51"/>
      <c r="G60" s="22">
        <v>2</v>
      </c>
      <c r="H60" s="22">
        <v>2</v>
      </c>
      <c r="I60" s="22">
        <v>2</v>
      </c>
      <c r="J60" s="22">
        <v>2</v>
      </c>
      <c r="K60" s="22">
        <v>2</v>
      </c>
      <c r="L60" s="22">
        <v>2</v>
      </c>
      <c r="M60" s="22">
        <v>2</v>
      </c>
      <c r="N60" s="22">
        <v>2</v>
      </c>
      <c r="O60" s="22">
        <v>2</v>
      </c>
      <c r="P60" s="22">
        <v>2</v>
      </c>
      <c r="Q60" s="22">
        <v>2</v>
      </c>
      <c r="R60" s="22">
        <v>2</v>
      </c>
      <c r="S60" s="22">
        <v>2</v>
      </c>
      <c r="T60" s="22">
        <v>2</v>
      </c>
      <c r="U60" s="22">
        <v>2</v>
      </c>
      <c r="V60" s="22">
        <v>2</v>
      </c>
      <c r="W60" s="22">
        <v>2</v>
      </c>
      <c r="X60" s="22">
        <v>2</v>
      </c>
      <c r="Y60" s="22">
        <v>2</v>
      </c>
      <c r="Z60" s="22">
        <v>2</v>
      </c>
      <c r="AA60" s="23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1"/>
      <c r="AM60" s="21"/>
      <c r="AN60" s="22"/>
    </row>
    <row r="61" spans="1:40" x14ac:dyDescent="0.3">
      <c r="A61" s="53"/>
      <c r="B61" s="53"/>
      <c r="C61" s="50" t="s">
        <v>75</v>
      </c>
      <c r="D61" s="50"/>
      <c r="E61" s="51" t="s">
        <v>54</v>
      </c>
      <c r="F61" s="51"/>
      <c r="G61" s="22">
        <v>2</v>
      </c>
      <c r="H61" s="22">
        <v>2</v>
      </c>
      <c r="I61" s="22">
        <v>2</v>
      </c>
      <c r="J61" s="22">
        <v>2</v>
      </c>
      <c r="K61" s="22">
        <v>2</v>
      </c>
      <c r="L61" s="22">
        <v>2</v>
      </c>
      <c r="M61" s="22">
        <v>2</v>
      </c>
      <c r="N61" s="22">
        <v>2</v>
      </c>
      <c r="O61" s="22">
        <v>2</v>
      </c>
      <c r="P61" s="22">
        <v>2</v>
      </c>
      <c r="Q61" s="22">
        <v>2</v>
      </c>
      <c r="R61" s="22">
        <v>2</v>
      </c>
      <c r="S61" s="22">
        <v>2</v>
      </c>
      <c r="T61" s="22">
        <v>2</v>
      </c>
      <c r="U61" s="22">
        <v>2</v>
      </c>
      <c r="V61" s="22">
        <v>2</v>
      </c>
      <c r="W61" s="22">
        <v>2</v>
      </c>
      <c r="X61" s="22">
        <v>2</v>
      </c>
      <c r="Y61" s="22">
        <v>2</v>
      </c>
      <c r="Z61" s="22">
        <v>2</v>
      </c>
      <c r="AA61" s="22">
        <v>2</v>
      </c>
      <c r="AB61" s="22">
        <v>2</v>
      </c>
      <c r="AC61" s="23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1"/>
      <c r="AM61" s="21"/>
      <c r="AN61" s="22"/>
    </row>
    <row r="62" spans="1:40" x14ac:dyDescent="0.3">
      <c r="A62" s="53"/>
      <c r="B62" s="53"/>
      <c r="C62" s="50" t="s">
        <v>76</v>
      </c>
      <c r="D62" s="50"/>
      <c r="E62" s="51" t="s">
        <v>94</v>
      </c>
      <c r="F62" s="51"/>
      <c r="G62" s="22">
        <v>2</v>
      </c>
      <c r="H62" s="22">
        <v>2</v>
      </c>
      <c r="I62" s="22">
        <v>2</v>
      </c>
      <c r="J62" s="22">
        <v>2</v>
      </c>
      <c r="K62" s="22">
        <v>2</v>
      </c>
      <c r="L62" s="22">
        <v>2</v>
      </c>
      <c r="M62" s="22">
        <v>2</v>
      </c>
      <c r="N62" s="22">
        <v>2</v>
      </c>
      <c r="O62" s="22">
        <v>2</v>
      </c>
      <c r="P62" s="22">
        <v>2</v>
      </c>
      <c r="Q62" s="22">
        <v>2</v>
      </c>
      <c r="R62" s="22">
        <v>2</v>
      </c>
      <c r="S62" s="22">
        <v>2</v>
      </c>
      <c r="T62" s="22">
        <v>2</v>
      </c>
      <c r="U62" s="22">
        <v>2</v>
      </c>
      <c r="V62" s="22">
        <v>2</v>
      </c>
      <c r="W62" s="22">
        <v>2</v>
      </c>
      <c r="X62" s="22">
        <v>2</v>
      </c>
      <c r="Y62" s="22">
        <v>2</v>
      </c>
      <c r="Z62" s="22">
        <v>2</v>
      </c>
      <c r="AA62" s="22">
        <v>2</v>
      </c>
      <c r="AB62" s="22">
        <v>2</v>
      </c>
      <c r="AC62" s="22">
        <v>2</v>
      </c>
      <c r="AD62" s="22">
        <v>2</v>
      </c>
      <c r="AE62" s="23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1"/>
      <c r="AM62" s="21"/>
      <c r="AN62" s="22"/>
    </row>
    <row r="63" spans="1:40" x14ac:dyDescent="0.3">
      <c r="A63" s="53"/>
      <c r="B63" s="28"/>
      <c r="C63" s="29" t="s">
        <v>77</v>
      </c>
      <c r="D63" s="29"/>
      <c r="E63" s="27"/>
      <c r="F63" s="27" t="s">
        <v>93</v>
      </c>
      <c r="G63" s="22">
        <v>2</v>
      </c>
      <c r="H63" s="22">
        <v>2</v>
      </c>
      <c r="I63" s="22">
        <v>2</v>
      </c>
      <c r="J63" s="22">
        <v>2</v>
      </c>
      <c r="K63" s="22">
        <v>2</v>
      </c>
      <c r="L63" s="22">
        <v>2</v>
      </c>
      <c r="M63" s="22">
        <v>2</v>
      </c>
      <c r="N63" s="22">
        <v>2</v>
      </c>
      <c r="O63" s="22">
        <v>2</v>
      </c>
      <c r="P63" s="22">
        <v>2</v>
      </c>
      <c r="Q63" s="22">
        <v>2</v>
      </c>
      <c r="R63" s="22">
        <v>2</v>
      </c>
      <c r="S63" s="22">
        <v>2</v>
      </c>
      <c r="T63" s="22">
        <v>2</v>
      </c>
      <c r="U63" s="22">
        <v>2</v>
      </c>
      <c r="V63" s="22">
        <v>2</v>
      </c>
      <c r="W63" s="22">
        <v>2</v>
      </c>
      <c r="X63" s="22">
        <v>2</v>
      </c>
      <c r="Y63" s="22">
        <v>2</v>
      </c>
      <c r="Z63" s="22">
        <v>2</v>
      </c>
      <c r="AA63" s="22">
        <v>2</v>
      </c>
      <c r="AB63" s="22">
        <v>2</v>
      </c>
      <c r="AC63" s="22">
        <v>2</v>
      </c>
      <c r="AD63" s="22">
        <v>2</v>
      </c>
      <c r="AE63" s="22">
        <v>2</v>
      </c>
      <c r="AF63" s="22">
        <v>2</v>
      </c>
      <c r="AG63" s="23">
        <v>0</v>
      </c>
      <c r="AH63" s="22">
        <v>0</v>
      </c>
      <c r="AI63" s="22">
        <v>0</v>
      </c>
      <c r="AJ63" s="22">
        <v>0</v>
      </c>
      <c r="AK63" s="22">
        <v>0</v>
      </c>
      <c r="AL63" s="21"/>
      <c r="AM63" s="21"/>
      <c r="AN63" s="22"/>
    </row>
    <row r="64" spans="1:40" x14ac:dyDescent="0.3">
      <c r="A64" s="53"/>
      <c r="B64" s="53" t="s">
        <v>31</v>
      </c>
      <c r="C64" s="50" t="s">
        <v>29</v>
      </c>
      <c r="D64" s="50"/>
      <c r="E64" s="51" t="s">
        <v>55</v>
      </c>
      <c r="F64" s="51"/>
      <c r="G64" s="22">
        <v>2</v>
      </c>
      <c r="H64" s="22">
        <v>2</v>
      </c>
      <c r="I64" s="22">
        <v>2</v>
      </c>
      <c r="J64" s="22">
        <v>2</v>
      </c>
      <c r="K64" s="22">
        <v>2</v>
      </c>
      <c r="L64" s="22">
        <v>2</v>
      </c>
      <c r="M64" s="22">
        <v>2</v>
      </c>
      <c r="N64" s="22">
        <v>2</v>
      </c>
      <c r="O64" s="22">
        <v>2</v>
      </c>
      <c r="P64" s="22">
        <v>2</v>
      </c>
      <c r="Q64" s="22">
        <v>2</v>
      </c>
      <c r="R64" s="22">
        <v>2</v>
      </c>
      <c r="S64" s="22">
        <v>2</v>
      </c>
      <c r="T64" s="22">
        <v>2</v>
      </c>
      <c r="U64" s="22">
        <v>2</v>
      </c>
      <c r="V64" s="22">
        <v>2</v>
      </c>
      <c r="W64" s="23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1"/>
      <c r="AM64" s="21"/>
      <c r="AN64" s="22"/>
    </row>
    <row r="65" spans="1:40" x14ac:dyDescent="0.3">
      <c r="A65" s="53"/>
      <c r="B65" s="53"/>
      <c r="C65" s="50" t="s">
        <v>30</v>
      </c>
      <c r="D65" s="50"/>
      <c r="E65" s="51" t="s">
        <v>55</v>
      </c>
      <c r="F65" s="51"/>
      <c r="G65" s="22">
        <v>2</v>
      </c>
      <c r="H65" s="22">
        <v>1</v>
      </c>
      <c r="I65" s="22">
        <v>1</v>
      </c>
      <c r="J65" s="22">
        <v>1</v>
      </c>
      <c r="K65" s="22">
        <v>1</v>
      </c>
      <c r="L65" s="22">
        <v>1</v>
      </c>
      <c r="M65" s="22">
        <v>1</v>
      </c>
      <c r="N65" s="22">
        <v>1</v>
      </c>
      <c r="O65" s="22">
        <v>1</v>
      </c>
      <c r="P65" s="22">
        <v>1</v>
      </c>
      <c r="Q65" s="22">
        <v>1</v>
      </c>
      <c r="R65" s="22">
        <v>1</v>
      </c>
      <c r="S65" s="22">
        <v>1</v>
      </c>
      <c r="T65" s="22">
        <v>1</v>
      </c>
      <c r="U65" s="22">
        <v>1</v>
      </c>
      <c r="V65" s="22">
        <v>1</v>
      </c>
      <c r="W65" s="22">
        <v>1</v>
      </c>
      <c r="X65" s="23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1"/>
      <c r="AM65" s="21"/>
      <c r="AN65" s="22"/>
    </row>
    <row r="66" spans="1:40" x14ac:dyDescent="0.3">
      <c r="A66" s="53"/>
      <c r="B66" s="53"/>
      <c r="C66" s="50"/>
      <c r="D66" s="50"/>
      <c r="E66" s="51"/>
      <c r="F66" s="5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5">
        <v>1</v>
      </c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2"/>
    </row>
    <row r="67" spans="1:40" x14ac:dyDescent="0.3">
      <c r="A67" s="53"/>
      <c r="B67" s="53"/>
      <c r="C67" s="50" t="s">
        <v>82</v>
      </c>
      <c r="D67" s="50"/>
      <c r="E67" s="51" t="s">
        <v>55</v>
      </c>
      <c r="F67" s="51"/>
      <c r="G67" s="22">
        <v>3</v>
      </c>
      <c r="H67" s="22">
        <v>3</v>
      </c>
      <c r="I67" s="22">
        <v>3</v>
      </c>
      <c r="J67" s="22">
        <v>3</v>
      </c>
      <c r="K67" s="22">
        <v>3</v>
      </c>
      <c r="L67" s="22">
        <v>3</v>
      </c>
      <c r="M67" s="22">
        <v>3</v>
      </c>
      <c r="N67" s="22">
        <v>3</v>
      </c>
      <c r="O67" s="22">
        <v>3</v>
      </c>
      <c r="P67" s="22">
        <v>3</v>
      </c>
      <c r="Q67" s="22">
        <v>3</v>
      </c>
      <c r="R67" s="22">
        <v>3</v>
      </c>
      <c r="S67" s="22">
        <v>3</v>
      </c>
      <c r="T67" s="22">
        <v>3</v>
      </c>
      <c r="U67" s="22">
        <v>3</v>
      </c>
      <c r="V67" s="22">
        <v>3</v>
      </c>
      <c r="W67" s="22">
        <v>3</v>
      </c>
      <c r="X67" s="22">
        <v>3</v>
      </c>
      <c r="Y67" s="23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21"/>
      <c r="AM67" s="21"/>
      <c r="AN67" s="22"/>
    </row>
    <row r="68" spans="1:40" x14ac:dyDescent="0.3">
      <c r="A68" s="53"/>
      <c r="B68" s="53"/>
      <c r="C68" s="50" t="s">
        <v>83</v>
      </c>
      <c r="D68" s="50"/>
      <c r="E68" s="51" t="s">
        <v>54</v>
      </c>
      <c r="F68" s="51"/>
      <c r="G68" s="22">
        <v>2</v>
      </c>
      <c r="H68" s="22">
        <v>2</v>
      </c>
      <c r="I68" s="22">
        <v>2</v>
      </c>
      <c r="J68" s="22">
        <v>2</v>
      </c>
      <c r="K68" s="22">
        <v>2</v>
      </c>
      <c r="L68" s="22">
        <v>2</v>
      </c>
      <c r="M68" s="22">
        <v>2</v>
      </c>
      <c r="N68" s="22">
        <v>2</v>
      </c>
      <c r="O68" s="22">
        <v>2</v>
      </c>
      <c r="P68" s="22">
        <v>2</v>
      </c>
      <c r="Q68" s="22">
        <v>2</v>
      </c>
      <c r="R68" s="22">
        <v>2</v>
      </c>
      <c r="S68" s="22">
        <v>2</v>
      </c>
      <c r="T68" s="22">
        <v>2</v>
      </c>
      <c r="U68" s="22">
        <v>2</v>
      </c>
      <c r="V68" s="22">
        <v>2</v>
      </c>
      <c r="W68" s="22">
        <v>2</v>
      </c>
      <c r="X68" s="22">
        <v>2</v>
      </c>
      <c r="Y68" s="22">
        <v>2</v>
      </c>
      <c r="Z68" s="22">
        <v>2</v>
      </c>
      <c r="AA68" s="23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21"/>
      <c r="AM68" s="21"/>
      <c r="AN68" s="22"/>
    </row>
    <row r="69" spans="1:40" x14ac:dyDescent="0.3">
      <c r="A69" s="53"/>
      <c r="B69" s="53"/>
      <c r="C69" s="50" t="s">
        <v>84</v>
      </c>
      <c r="D69" s="50"/>
      <c r="E69" s="51" t="s">
        <v>55</v>
      </c>
      <c r="F69" s="51"/>
      <c r="G69" s="22">
        <v>3</v>
      </c>
      <c r="H69" s="22">
        <v>3</v>
      </c>
      <c r="I69" s="22">
        <v>3</v>
      </c>
      <c r="J69" s="22">
        <v>3</v>
      </c>
      <c r="K69" s="22">
        <v>3</v>
      </c>
      <c r="L69" s="22">
        <v>3</v>
      </c>
      <c r="M69" s="22">
        <v>3</v>
      </c>
      <c r="N69" s="22">
        <v>3</v>
      </c>
      <c r="O69" s="22">
        <v>3</v>
      </c>
      <c r="P69" s="22">
        <v>3</v>
      </c>
      <c r="Q69" s="22">
        <v>3</v>
      </c>
      <c r="R69" s="22">
        <v>3</v>
      </c>
      <c r="S69" s="22">
        <v>3</v>
      </c>
      <c r="T69" s="22">
        <v>3</v>
      </c>
      <c r="U69" s="22">
        <v>3</v>
      </c>
      <c r="V69" s="22">
        <v>3</v>
      </c>
      <c r="W69" s="22">
        <v>3</v>
      </c>
      <c r="X69" s="22">
        <v>3</v>
      </c>
      <c r="Y69" s="22">
        <v>3</v>
      </c>
      <c r="Z69" s="22">
        <v>3</v>
      </c>
      <c r="AA69" s="22">
        <v>3</v>
      </c>
      <c r="AB69" s="22">
        <v>3</v>
      </c>
      <c r="AC69" s="23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0</v>
      </c>
      <c r="AL69" s="21"/>
      <c r="AM69" s="21"/>
      <c r="AN69" s="22"/>
    </row>
    <row r="70" spans="1:40" x14ac:dyDescent="0.3">
      <c r="A70" s="53"/>
      <c r="B70" s="53"/>
      <c r="C70" s="50" t="s">
        <v>85</v>
      </c>
      <c r="D70" s="50"/>
      <c r="E70" s="51" t="s">
        <v>91</v>
      </c>
      <c r="F70" s="51"/>
      <c r="G70" s="22">
        <v>3</v>
      </c>
      <c r="H70" s="22">
        <v>3</v>
      </c>
      <c r="I70" s="22">
        <v>3</v>
      </c>
      <c r="J70" s="22">
        <v>3</v>
      </c>
      <c r="K70" s="22">
        <v>3</v>
      </c>
      <c r="L70" s="22">
        <v>3</v>
      </c>
      <c r="M70" s="22">
        <v>3</v>
      </c>
      <c r="N70" s="22">
        <v>3</v>
      </c>
      <c r="O70" s="22">
        <v>3</v>
      </c>
      <c r="P70" s="22">
        <v>3</v>
      </c>
      <c r="Q70" s="22">
        <v>3</v>
      </c>
      <c r="R70" s="22">
        <v>3</v>
      </c>
      <c r="S70" s="22">
        <v>3</v>
      </c>
      <c r="T70" s="22">
        <v>3</v>
      </c>
      <c r="U70" s="22">
        <v>3</v>
      </c>
      <c r="V70" s="22">
        <v>3</v>
      </c>
      <c r="W70" s="22">
        <v>3</v>
      </c>
      <c r="X70" s="22">
        <v>3</v>
      </c>
      <c r="Y70" s="22">
        <v>3</v>
      </c>
      <c r="Z70" s="22">
        <v>3</v>
      </c>
      <c r="AA70" s="22">
        <v>3</v>
      </c>
      <c r="AB70" s="22">
        <v>3</v>
      </c>
      <c r="AC70" s="22">
        <v>3</v>
      </c>
      <c r="AD70" s="22">
        <v>3</v>
      </c>
      <c r="AE70" s="23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21"/>
      <c r="AM70" s="21"/>
      <c r="AN70" s="22"/>
    </row>
    <row r="71" spans="1:40" x14ac:dyDescent="0.3">
      <c r="A71" s="53"/>
      <c r="B71" s="28"/>
      <c r="C71" s="29" t="s">
        <v>86</v>
      </c>
      <c r="D71" s="29"/>
      <c r="F71" s="27" t="s">
        <v>54</v>
      </c>
      <c r="G71" s="22">
        <v>4</v>
      </c>
      <c r="H71" s="22">
        <v>4</v>
      </c>
      <c r="I71" s="22">
        <v>4</v>
      </c>
      <c r="J71" s="22">
        <v>4</v>
      </c>
      <c r="K71" s="22">
        <v>4</v>
      </c>
      <c r="L71" s="22">
        <v>4</v>
      </c>
      <c r="M71" s="22">
        <v>4</v>
      </c>
      <c r="N71" s="22">
        <v>4</v>
      </c>
      <c r="O71" s="22">
        <v>4</v>
      </c>
      <c r="P71" s="22">
        <v>4</v>
      </c>
      <c r="Q71" s="22">
        <v>4</v>
      </c>
      <c r="R71" s="22">
        <v>4</v>
      </c>
      <c r="S71" s="22">
        <v>4</v>
      </c>
      <c r="T71" s="22">
        <v>4</v>
      </c>
      <c r="U71" s="22">
        <v>4</v>
      </c>
      <c r="V71" s="22">
        <v>4</v>
      </c>
      <c r="W71" s="22">
        <v>4</v>
      </c>
      <c r="X71" s="22">
        <v>4</v>
      </c>
      <c r="Y71" s="22">
        <v>4</v>
      </c>
      <c r="Z71" s="22">
        <v>4</v>
      </c>
      <c r="AA71" s="22">
        <v>4</v>
      </c>
      <c r="AB71" s="22">
        <v>4</v>
      </c>
      <c r="AC71" s="22">
        <v>4</v>
      </c>
      <c r="AD71" s="22">
        <v>4</v>
      </c>
      <c r="AE71" s="22">
        <v>4</v>
      </c>
      <c r="AF71" s="22">
        <v>4</v>
      </c>
      <c r="AG71" s="22">
        <v>4</v>
      </c>
      <c r="AH71" s="23">
        <v>0</v>
      </c>
      <c r="AI71" s="34">
        <v>0</v>
      </c>
      <c r="AJ71" s="34">
        <v>0</v>
      </c>
      <c r="AK71" s="34">
        <v>0</v>
      </c>
      <c r="AL71" s="21"/>
      <c r="AM71" s="21"/>
      <c r="AN71" s="22"/>
    </row>
    <row r="72" spans="1:40" x14ac:dyDescent="0.3">
      <c r="A72" s="53"/>
      <c r="B72" s="53" t="s">
        <v>39</v>
      </c>
      <c r="C72" s="50" t="s">
        <v>40</v>
      </c>
      <c r="D72" s="50"/>
      <c r="E72" s="51" t="s">
        <v>91</v>
      </c>
      <c r="F72" s="51"/>
      <c r="G72" s="22">
        <v>3</v>
      </c>
      <c r="H72" s="22">
        <v>3</v>
      </c>
      <c r="I72" s="22">
        <v>3</v>
      </c>
      <c r="J72" s="22">
        <v>3</v>
      </c>
      <c r="K72" s="22">
        <v>3</v>
      </c>
      <c r="L72" s="22">
        <v>3</v>
      </c>
      <c r="M72" s="22">
        <v>3</v>
      </c>
      <c r="N72" s="22">
        <v>3</v>
      </c>
      <c r="O72" s="22">
        <v>3</v>
      </c>
      <c r="P72" s="22">
        <v>3</v>
      </c>
      <c r="Q72" s="22">
        <v>3</v>
      </c>
      <c r="R72" s="22">
        <v>3</v>
      </c>
      <c r="S72" s="22">
        <v>3</v>
      </c>
      <c r="T72" s="22">
        <v>3</v>
      </c>
      <c r="U72" s="22">
        <v>3</v>
      </c>
      <c r="V72" s="22">
        <v>3</v>
      </c>
      <c r="W72" s="23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1"/>
      <c r="AM72" s="21"/>
      <c r="AN72" s="22"/>
    </row>
    <row r="73" spans="1:40" x14ac:dyDescent="0.3">
      <c r="A73" s="53"/>
      <c r="B73" s="53"/>
      <c r="C73" s="50" t="s">
        <v>32</v>
      </c>
      <c r="D73" s="50"/>
      <c r="E73" s="51" t="s">
        <v>54</v>
      </c>
      <c r="F73" s="51"/>
      <c r="G73" s="22">
        <v>3</v>
      </c>
      <c r="H73" s="22">
        <v>3</v>
      </c>
      <c r="I73" s="22">
        <v>3</v>
      </c>
      <c r="J73" s="22">
        <v>3</v>
      </c>
      <c r="K73" s="22">
        <v>3</v>
      </c>
      <c r="L73" s="22">
        <v>3</v>
      </c>
      <c r="M73" s="22">
        <v>3</v>
      </c>
      <c r="N73" s="22">
        <v>3</v>
      </c>
      <c r="O73" s="22">
        <v>3</v>
      </c>
      <c r="P73" s="22">
        <v>3</v>
      </c>
      <c r="Q73" s="22">
        <v>3</v>
      </c>
      <c r="R73" s="22">
        <v>3</v>
      </c>
      <c r="S73" s="22">
        <v>3</v>
      </c>
      <c r="T73" s="22">
        <v>3</v>
      </c>
      <c r="U73" s="22">
        <v>3</v>
      </c>
      <c r="V73" s="22">
        <v>3</v>
      </c>
      <c r="W73" s="22">
        <v>3</v>
      </c>
      <c r="X73" s="23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1"/>
      <c r="AM73" s="21"/>
      <c r="AN73" s="22"/>
    </row>
    <row r="74" spans="1:40" x14ac:dyDescent="0.3">
      <c r="A74" s="53"/>
      <c r="B74" s="53"/>
      <c r="C74" s="50" t="s">
        <v>87</v>
      </c>
      <c r="D74" s="50"/>
      <c r="E74" s="51" t="s">
        <v>91</v>
      </c>
      <c r="F74" s="51"/>
      <c r="G74" s="22">
        <v>3</v>
      </c>
      <c r="H74" s="22">
        <v>3</v>
      </c>
      <c r="I74" s="22">
        <v>3</v>
      </c>
      <c r="J74" s="22">
        <v>3</v>
      </c>
      <c r="K74" s="22">
        <v>3</v>
      </c>
      <c r="L74" s="22">
        <v>3</v>
      </c>
      <c r="M74" s="22">
        <v>3</v>
      </c>
      <c r="N74" s="22">
        <v>3</v>
      </c>
      <c r="O74" s="22">
        <v>3</v>
      </c>
      <c r="P74" s="22">
        <v>3</v>
      </c>
      <c r="Q74" s="22">
        <v>3</v>
      </c>
      <c r="R74" s="22">
        <v>3</v>
      </c>
      <c r="S74" s="22">
        <v>3</v>
      </c>
      <c r="T74" s="22">
        <v>3</v>
      </c>
      <c r="U74" s="22">
        <v>3</v>
      </c>
      <c r="V74" s="22">
        <v>3</v>
      </c>
      <c r="W74" s="22">
        <v>3</v>
      </c>
      <c r="X74" s="22">
        <v>3</v>
      </c>
      <c r="Y74" s="23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1"/>
      <c r="AM74" s="21"/>
      <c r="AN74" s="22"/>
    </row>
    <row r="75" spans="1:40" x14ac:dyDescent="0.3">
      <c r="A75" s="53"/>
      <c r="B75" s="53"/>
      <c r="C75" s="50" t="s">
        <v>88</v>
      </c>
      <c r="D75" s="50"/>
      <c r="E75" s="51" t="s">
        <v>95</v>
      </c>
      <c r="F75" s="51"/>
      <c r="G75" s="22">
        <v>2</v>
      </c>
      <c r="H75" s="22">
        <v>2</v>
      </c>
      <c r="I75" s="22">
        <v>2</v>
      </c>
      <c r="J75" s="22">
        <v>2</v>
      </c>
      <c r="K75" s="22">
        <v>2</v>
      </c>
      <c r="L75" s="22">
        <v>2</v>
      </c>
      <c r="M75" s="22">
        <v>2</v>
      </c>
      <c r="N75" s="22">
        <v>2</v>
      </c>
      <c r="O75" s="22">
        <v>2</v>
      </c>
      <c r="P75" s="22">
        <v>2</v>
      </c>
      <c r="Q75" s="22">
        <v>2</v>
      </c>
      <c r="R75" s="22">
        <v>2</v>
      </c>
      <c r="S75" s="22">
        <v>2</v>
      </c>
      <c r="T75" s="22">
        <v>2</v>
      </c>
      <c r="U75" s="22">
        <v>2</v>
      </c>
      <c r="V75" s="22">
        <v>2</v>
      </c>
      <c r="W75" s="22">
        <v>2</v>
      </c>
      <c r="X75" s="22">
        <v>2</v>
      </c>
      <c r="Y75" s="22">
        <v>2</v>
      </c>
      <c r="Z75" s="22">
        <v>2</v>
      </c>
      <c r="AA75" s="23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1"/>
      <c r="AM75" s="21"/>
      <c r="AN75" s="22"/>
    </row>
    <row r="76" spans="1:40" x14ac:dyDescent="0.3">
      <c r="A76" s="53"/>
      <c r="B76" s="53"/>
      <c r="C76" s="50" t="s">
        <v>89</v>
      </c>
      <c r="D76" s="50"/>
      <c r="E76" s="51" t="s">
        <v>54</v>
      </c>
      <c r="F76" s="51"/>
      <c r="G76" s="22">
        <v>2</v>
      </c>
      <c r="H76" s="22">
        <v>2</v>
      </c>
      <c r="I76" s="22">
        <v>2</v>
      </c>
      <c r="J76" s="22">
        <v>2</v>
      </c>
      <c r="K76" s="22">
        <v>2</v>
      </c>
      <c r="L76" s="22">
        <v>2</v>
      </c>
      <c r="M76" s="22">
        <v>2</v>
      </c>
      <c r="N76" s="22">
        <v>2</v>
      </c>
      <c r="O76" s="22">
        <v>2</v>
      </c>
      <c r="P76" s="22">
        <v>2</v>
      </c>
      <c r="Q76" s="22">
        <v>2</v>
      </c>
      <c r="R76" s="22">
        <v>2</v>
      </c>
      <c r="S76" s="22">
        <v>2</v>
      </c>
      <c r="T76" s="22">
        <v>2</v>
      </c>
      <c r="U76" s="22">
        <v>2</v>
      </c>
      <c r="V76" s="22">
        <v>2</v>
      </c>
      <c r="W76" s="22">
        <v>2</v>
      </c>
      <c r="X76" s="22">
        <v>2</v>
      </c>
      <c r="Y76" s="22">
        <v>2</v>
      </c>
      <c r="Z76" s="22">
        <v>2</v>
      </c>
      <c r="AA76" s="22">
        <v>2</v>
      </c>
      <c r="AB76" s="22">
        <v>2</v>
      </c>
      <c r="AC76" s="22">
        <v>2</v>
      </c>
      <c r="AD76" s="23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1"/>
      <c r="AM76" s="21"/>
      <c r="AN76" s="22"/>
    </row>
    <row r="77" spans="1:40" x14ac:dyDescent="0.3">
      <c r="A77" s="53"/>
      <c r="B77" s="53"/>
      <c r="C77" s="50" t="s">
        <v>77</v>
      </c>
      <c r="D77" s="50"/>
      <c r="E77" s="51" t="s">
        <v>95</v>
      </c>
      <c r="F77" s="51"/>
      <c r="G77" s="22">
        <v>2</v>
      </c>
      <c r="H77" s="22">
        <v>2</v>
      </c>
      <c r="I77" s="22">
        <v>2</v>
      </c>
      <c r="J77" s="22">
        <v>2</v>
      </c>
      <c r="K77" s="22">
        <v>2</v>
      </c>
      <c r="L77" s="22">
        <v>2</v>
      </c>
      <c r="M77" s="22">
        <v>2</v>
      </c>
      <c r="N77" s="22">
        <v>2</v>
      </c>
      <c r="O77" s="22">
        <v>2</v>
      </c>
      <c r="P77" s="22">
        <v>2</v>
      </c>
      <c r="Q77" s="22">
        <v>2</v>
      </c>
      <c r="R77" s="22">
        <v>2</v>
      </c>
      <c r="S77" s="22">
        <v>2</v>
      </c>
      <c r="T77" s="22">
        <v>2</v>
      </c>
      <c r="U77" s="22">
        <v>2</v>
      </c>
      <c r="V77" s="22">
        <v>2</v>
      </c>
      <c r="W77" s="22">
        <v>2</v>
      </c>
      <c r="X77" s="22">
        <v>2</v>
      </c>
      <c r="Y77" s="22">
        <v>2</v>
      </c>
      <c r="Z77" s="22">
        <v>2</v>
      </c>
      <c r="AA77" s="22">
        <v>2</v>
      </c>
      <c r="AB77" s="22">
        <v>2</v>
      </c>
      <c r="AC77" s="22">
        <v>2</v>
      </c>
      <c r="AD77" s="22">
        <v>2</v>
      </c>
      <c r="AE77" s="22">
        <v>2</v>
      </c>
      <c r="AF77" s="23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1"/>
      <c r="AM77" s="21"/>
      <c r="AN77" s="22"/>
    </row>
    <row r="78" spans="1:40" x14ac:dyDescent="0.3">
      <c r="A78" s="53"/>
      <c r="B78" s="28"/>
      <c r="C78" s="29" t="s">
        <v>90</v>
      </c>
      <c r="D78" s="29"/>
      <c r="E78" s="27"/>
      <c r="F78" s="27" t="s">
        <v>94</v>
      </c>
      <c r="G78" s="22">
        <v>2</v>
      </c>
      <c r="H78" s="22">
        <v>2</v>
      </c>
      <c r="I78" s="22">
        <v>2</v>
      </c>
      <c r="J78" s="22">
        <v>2</v>
      </c>
      <c r="K78" s="22">
        <v>2</v>
      </c>
      <c r="L78" s="22">
        <v>2</v>
      </c>
      <c r="M78" s="22">
        <v>2</v>
      </c>
      <c r="N78" s="22">
        <v>2</v>
      </c>
      <c r="O78" s="22">
        <v>2</v>
      </c>
      <c r="P78" s="22">
        <v>2</v>
      </c>
      <c r="Q78" s="22">
        <v>2</v>
      </c>
      <c r="R78" s="22">
        <v>2</v>
      </c>
      <c r="S78" s="22">
        <v>2</v>
      </c>
      <c r="T78" s="22">
        <v>2</v>
      </c>
      <c r="U78" s="22">
        <v>2</v>
      </c>
      <c r="V78" s="22">
        <v>2</v>
      </c>
      <c r="W78" s="22">
        <v>2</v>
      </c>
      <c r="X78" s="22">
        <v>2</v>
      </c>
      <c r="Y78" s="22">
        <v>2</v>
      </c>
      <c r="Z78" s="22">
        <v>2</v>
      </c>
      <c r="AA78" s="22">
        <v>2</v>
      </c>
      <c r="AB78" s="22">
        <v>2</v>
      </c>
      <c r="AC78" s="22">
        <v>2</v>
      </c>
      <c r="AD78" s="22">
        <v>2</v>
      </c>
      <c r="AE78" s="22">
        <v>2</v>
      </c>
      <c r="AF78" s="22">
        <v>2</v>
      </c>
      <c r="AG78" s="22">
        <v>2</v>
      </c>
      <c r="AH78" s="23">
        <v>0</v>
      </c>
      <c r="AI78" s="22">
        <v>0</v>
      </c>
      <c r="AJ78" s="22">
        <v>0</v>
      </c>
      <c r="AK78" s="22">
        <v>0</v>
      </c>
      <c r="AL78" s="21"/>
      <c r="AM78" s="21"/>
      <c r="AN78" s="22"/>
    </row>
    <row r="79" spans="1:40" ht="16.2" customHeight="1" x14ac:dyDescent="0.3">
      <c r="A79" s="53"/>
      <c r="B79" s="53" t="s">
        <v>35</v>
      </c>
      <c r="C79" s="50" t="s">
        <v>33</v>
      </c>
      <c r="D79" s="50"/>
      <c r="E79" s="51" t="s">
        <v>46</v>
      </c>
      <c r="F79" s="51"/>
      <c r="G79" s="22">
        <v>8</v>
      </c>
      <c r="H79" s="22">
        <v>8</v>
      </c>
      <c r="I79" s="22">
        <v>8</v>
      </c>
      <c r="J79" s="22">
        <v>8</v>
      </c>
      <c r="K79" s="22">
        <v>8</v>
      </c>
      <c r="L79" s="22">
        <v>8</v>
      </c>
      <c r="M79" s="22">
        <v>8</v>
      </c>
      <c r="N79" s="22">
        <v>8</v>
      </c>
      <c r="O79" s="22">
        <v>8</v>
      </c>
      <c r="P79" s="22">
        <v>8</v>
      </c>
      <c r="Q79" s="22">
        <v>8</v>
      </c>
      <c r="R79" s="22">
        <v>8</v>
      </c>
      <c r="S79" s="22">
        <v>8</v>
      </c>
      <c r="T79" s="22">
        <v>8</v>
      </c>
      <c r="U79" s="22">
        <v>8</v>
      </c>
      <c r="V79" s="22">
        <v>8</v>
      </c>
      <c r="W79" s="22">
        <v>8</v>
      </c>
      <c r="X79" s="22">
        <v>8</v>
      </c>
      <c r="Y79" s="22">
        <v>8</v>
      </c>
      <c r="Z79" s="22">
        <v>8</v>
      </c>
      <c r="AA79" s="22">
        <v>8</v>
      </c>
      <c r="AB79" s="22">
        <v>8</v>
      </c>
      <c r="AC79" s="22">
        <v>8</v>
      </c>
      <c r="AD79" s="22">
        <v>8</v>
      </c>
      <c r="AE79" s="22">
        <v>8</v>
      </c>
      <c r="AF79" s="22">
        <v>8</v>
      </c>
      <c r="AG79" s="22">
        <v>8</v>
      </c>
      <c r="AH79" s="22">
        <v>8</v>
      </c>
      <c r="AI79" s="22">
        <v>8</v>
      </c>
      <c r="AJ79" s="22">
        <v>8</v>
      </c>
      <c r="AK79" s="22">
        <v>8</v>
      </c>
      <c r="AL79" s="21"/>
      <c r="AM79" s="21"/>
      <c r="AN79" s="22"/>
    </row>
    <row r="80" spans="1:40" x14ac:dyDescent="0.3">
      <c r="A80" s="53"/>
      <c r="B80" s="53"/>
      <c r="C80" s="50" t="s">
        <v>34</v>
      </c>
      <c r="D80" s="50"/>
      <c r="E80" s="51" t="s">
        <v>46</v>
      </c>
      <c r="F80" s="51"/>
      <c r="G80" s="22">
        <v>8</v>
      </c>
      <c r="H80" s="22">
        <v>8</v>
      </c>
      <c r="I80" s="22">
        <v>8</v>
      </c>
      <c r="J80" s="22">
        <v>8</v>
      </c>
      <c r="K80" s="22">
        <v>8</v>
      </c>
      <c r="L80" s="22">
        <v>8</v>
      </c>
      <c r="M80" s="22">
        <v>8</v>
      </c>
      <c r="N80" s="22">
        <v>8</v>
      </c>
      <c r="O80" s="22">
        <v>8</v>
      </c>
      <c r="P80" s="22">
        <v>8</v>
      </c>
      <c r="Q80" s="22">
        <v>8</v>
      </c>
      <c r="R80" s="22">
        <v>8</v>
      </c>
      <c r="S80" s="22">
        <v>8</v>
      </c>
      <c r="T80" s="22">
        <v>8</v>
      </c>
      <c r="U80" s="22">
        <v>8</v>
      </c>
      <c r="V80" s="22">
        <v>8</v>
      </c>
      <c r="W80" s="22">
        <v>8</v>
      </c>
      <c r="X80" s="22">
        <v>8</v>
      </c>
      <c r="Y80" s="22">
        <v>8</v>
      </c>
      <c r="Z80" s="22">
        <v>8</v>
      </c>
      <c r="AA80" s="22">
        <v>8</v>
      </c>
      <c r="AB80" s="22">
        <v>8</v>
      </c>
      <c r="AC80" s="22">
        <v>8</v>
      </c>
      <c r="AD80" s="22">
        <v>8</v>
      </c>
      <c r="AE80" s="22">
        <v>8</v>
      </c>
      <c r="AF80" s="22">
        <v>8</v>
      </c>
      <c r="AG80" s="22">
        <v>8</v>
      </c>
      <c r="AH80" s="22">
        <v>8</v>
      </c>
      <c r="AI80" s="22">
        <v>8</v>
      </c>
      <c r="AJ80" s="22">
        <v>8</v>
      </c>
      <c r="AK80" s="22">
        <v>8</v>
      </c>
      <c r="AL80" s="21"/>
      <c r="AM80" s="21"/>
      <c r="AN80" s="22"/>
    </row>
    <row r="81" spans="1:40" x14ac:dyDescent="0.3">
      <c r="A81" s="53"/>
      <c r="B81" s="52" t="s">
        <v>12</v>
      </c>
      <c r="C81" s="52"/>
      <c r="D81" s="52"/>
      <c r="E81" s="54" t="s">
        <v>11</v>
      </c>
      <c r="F81" s="54"/>
      <c r="G81" s="51">
        <f>SUM(G14:G80)</f>
        <v>167</v>
      </c>
      <c r="H81" s="51"/>
      <c r="I81" s="27">
        <f t="shared" ref="I81:P81" si="0">SUM(I14:I80)</f>
        <v>172</v>
      </c>
      <c r="J81" s="27">
        <f t="shared" si="0"/>
        <v>172</v>
      </c>
      <c r="K81" s="27">
        <f t="shared" si="0"/>
        <v>164</v>
      </c>
      <c r="L81" s="27">
        <f t="shared" si="0"/>
        <v>164</v>
      </c>
      <c r="M81" s="27">
        <f t="shared" si="0"/>
        <v>164</v>
      </c>
      <c r="N81" s="27">
        <f t="shared" si="0"/>
        <v>164</v>
      </c>
      <c r="O81" s="27">
        <f t="shared" si="0"/>
        <v>164</v>
      </c>
      <c r="P81" s="27">
        <f t="shared" si="0"/>
        <v>162</v>
      </c>
      <c r="Q81" s="22">
        <v>161</v>
      </c>
      <c r="R81" s="22">
        <f t="shared" ref="R81:W81" si="1">SUM(R14:R80)</f>
        <v>160</v>
      </c>
      <c r="S81" s="22">
        <f t="shared" si="1"/>
        <v>160</v>
      </c>
      <c r="T81" s="22">
        <f t="shared" si="1"/>
        <v>151</v>
      </c>
      <c r="U81" s="22">
        <f t="shared" si="1"/>
        <v>149</v>
      </c>
      <c r="V81" s="22">
        <f t="shared" si="1"/>
        <v>139</v>
      </c>
      <c r="W81" s="22">
        <f t="shared" si="1"/>
        <v>120</v>
      </c>
      <c r="X81" s="22">
        <v>110</v>
      </c>
      <c r="Y81" s="22">
        <f>SUM(Y14:Y80)</f>
        <v>102</v>
      </c>
      <c r="Z81" s="22">
        <f>SUM(Z14:Z80)-Z36</f>
        <v>92</v>
      </c>
      <c r="AA81" s="22">
        <f>SUM(AA14:AA80)</f>
        <v>86</v>
      </c>
      <c r="AB81" s="22">
        <f>SUM(AB14:AB80)</f>
        <v>77</v>
      </c>
      <c r="AC81" s="22">
        <f>SUM(AC14:AC80)</f>
        <v>64</v>
      </c>
      <c r="AD81" s="22">
        <v>63</v>
      </c>
      <c r="AE81" s="22">
        <f>SUM(AE14:AE80)</f>
        <v>56</v>
      </c>
      <c r="AF81" s="22">
        <f>SUM(AF14:AF80)</f>
        <v>36</v>
      </c>
      <c r="AG81" s="22">
        <v>22</v>
      </c>
      <c r="AH81" s="22">
        <f>SUM(AH14:AH80)</f>
        <v>16</v>
      </c>
      <c r="AI81" s="22">
        <f>SUM(AI14:AI80)-AI56</f>
        <v>16</v>
      </c>
      <c r="AJ81" s="22">
        <f>SUM(AJ14:AJ80)</f>
        <v>16</v>
      </c>
      <c r="AK81" s="22">
        <f>SUM(AK14:AK80)</f>
        <v>16</v>
      </c>
      <c r="AL81" s="21"/>
      <c r="AM81" s="21"/>
      <c r="AN81" s="22"/>
    </row>
    <row r="82" spans="1:40" x14ac:dyDescent="0.3">
      <c r="A82" s="53"/>
      <c r="B82" s="52"/>
      <c r="C82" s="52"/>
      <c r="D82" s="52"/>
      <c r="E82" s="54" t="s">
        <v>47</v>
      </c>
      <c r="F82" s="54"/>
      <c r="G82" s="51">
        <f>SUM(H14:H80)</f>
        <v>172</v>
      </c>
      <c r="H82" s="51"/>
      <c r="I82" s="27">
        <f t="shared" ref="I82:Q82" si="2">SUM(I14:I80)</f>
        <v>172</v>
      </c>
      <c r="J82" s="27">
        <f t="shared" si="2"/>
        <v>172</v>
      </c>
      <c r="K82" s="27">
        <f t="shared" si="2"/>
        <v>164</v>
      </c>
      <c r="L82" s="27">
        <f t="shared" si="2"/>
        <v>164</v>
      </c>
      <c r="M82" s="27">
        <f t="shared" si="2"/>
        <v>164</v>
      </c>
      <c r="N82" s="27">
        <f t="shared" si="2"/>
        <v>164</v>
      </c>
      <c r="O82" s="27">
        <f t="shared" si="2"/>
        <v>164</v>
      </c>
      <c r="P82" s="27">
        <f t="shared" si="2"/>
        <v>162</v>
      </c>
      <c r="Q82" s="22">
        <f t="shared" si="2"/>
        <v>162</v>
      </c>
      <c r="R82" s="22">
        <f>SUM(R14:R80)+S16</f>
        <v>160</v>
      </c>
      <c r="S82" s="22">
        <f>SUM(S14:S80)</f>
        <v>160</v>
      </c>
      <c r="T82" s="22">
        <f>SUM(T14:T80)</f>
        <v>151</v>
      </c>
      <c r="U82" s="22">
        <f>SUM(U14:U80)</f>
        <v>149</v>
      </c>
      <c r="V82" s="22">
        <v>138</v>
      </c>
      <c r="W82" s="22">
        <v>125</v>
      </c>
      <c r="X82" s="22">
        <f>SUM(X14:X80)</f>
        <v>109</v>
      </c>
      <c r="Y82" s="22">
        <f>SUM(Y14:Y80)+Z36-Y33</f>
        <v>102</v>
      </c>
      <c r="Z82" s="22">
        <f>SUM(Z14:Z80)-Z36</f>
        <v>92</v>
      </c>
      <c r="AA82" s="22">
        <f>SUM(AA14:AA80)</f>
        <v>86</v>
      </c>
      <c r="AB82" s="22">
        <f>SUM(AB14:AB80)+AC42-AB40-AB38</f>
        <v>77</v>
      </c>
      <c r="AC82" s="22">
        <f>SUM(AC14:AC80)</f>
        <v>64</v>
      </c>
      <c r="AD82" s="22">
        <f>SUM(AD14:AD80)</f>
        <v>62</v>
      </c>
      <c r="AE82" s="22">
        <f>SUM(AE14:AE80)</f>
        <v>56</v>
      </c>
      <c r="AF82" s="22">
        <f>SUM(AF14:AF80)</f>
        <v>36</v>
      </c>
      <c r="AG82" s="22">
        <f>SUM(AG14:AG80)</f>
        <v>26</v>
      </c>
      <c r="AH82" s="22">
        <f>SUM(AH14:AH80)+AI56</f>
        <v>16</v>
      </c>
      <c r="AI82" s="22">
        <f>SUM(AI14:AI80)-AI56</f>
        <v>16</v>
      </c>
      <c r="AJ82" s="22">
        <f>SUM(AJ14:AJ80)</f>
        <v>16</v>
      </c>
      <c r="AK82" s="22">
        <f>SUM(AK14:AK80)-AK66</f>
        <v>16</v>
      </c>
      <c r="AL82" s="21"/>
      <c r="AM82" s="21"/>
      <c r="AN82" s="22"/>
    </row>
  </sheetData>
  <mergeCells count="142">
    <mergeCell ref="G82:H82"/>
    <mergeCell ref="B16:D16"/>
    <mergeCell ref="E16:F16"/>
    <mergeCell ref="B37:B56"/>
    <mergeCell ref="C79:D79"/>
    <mergeCell ref="C76:D76"/>
    <mergeCell ref="C75:D75"/>
    <mergeCell ref="C74:D74"/>
    <mergeCell ref="C73:D73"/>
    <mergeCell ref="C72:D72"/>
    <mergeCell ref="C70:D70"/>
    <mergeCell ref="C43:D43"/>
    <mergeCell ref="C44:D44"/>
    <mergeCell ref="C45:D45"/>
    <mergeCell ref="C37:D37"/>
    <mergeCell ref="C39:D39"/>
    <mergeCell ref="C38:D38"/>
    <mergeCell ref="C40:D40"/>
    <mergeCell ref="C55:D55"/>
    <mergeCell ref="C57:D57"/>
    <mergeCell ref="C46:D46"/>
    <mergeCell ref="C47:D47"/>
    <mergeCell ref="C56:D56"/>
    <mergeCell ref="E48:F48"/>
    <mergeCell ref="A1:B1"/>
    <mergeCell ref="A2:B2"/>
    <mergeCell ref="A3:B3"/>
    <mergeCell ref="A4:B4"/>
    <mergeCell ref="C18:D18"/>
    <mergeCell ref="G81:H81"/>
    <mergeCell ref="B64:B70"/>
    <mergeCell ref="B6:E6"/>
    <mergeCell ref="B11:C11"/>
    <mergeCell ref="C13:D13"/>
    <mergeCell ref="E13:F13"/>
    <mergeCell ref="B14:D14"/>
    <mergeCell ref="B15:D15"/>
    <mergeCell ref="C19:D19"/>
    <mergeCell ref="C20:D20"/>
    <mergeCell ref="C21:D21"/>
    <mergeCell ref="C22:D22"/>
    <mergeCell ref="C23:D23"/>
    <mergeCell ref="C25:D25"/>
    <mergeCell ref="C26:D26"/>
    <mergeCell ref="C27:D27"/>
    <mergeCell ref="E29:F29"/>
    <mergeCell ref="B17:D17"/>
    <mergeCell ref="B18:B26"/>
    <mergeCell ref="B27:B36"/>
    <mergeCell ref="B57:B62"/>
    <mergeCell ref="E23:F23"/>
    <mergeCell ref="E25:F25"/>
    <mergeCell ref="E26:F26"/>
    <mergeCell ref="E50:F50"/>
    <mergeCell ref="E27:F27"/>
    <mergeCell ref="E28:F28"/>
    <mergeCell ref="E40:F40"/>
    <mergeCell ref="E30:F30"/>
    <mergeCell ref="E31:F31"/>
    <mergeCell ref="E32:F32"/>
    <mergeCell ref="C35:D35"/>
    <mergeCell ref="C36:D36"/>
    <mergeCell ref="C28:D28"/>
    <mergeCell ref="C29:D29"/>
    <mergeCell ref="C30:D30"/>
    <mergeCell ref="C31:D31"/>
    <mergeCell ref="C41:D41"/>
    <mergeCell ref="C32:D32"/>
    <mergeCell ref="C48:D48"/>
    <mergeCell ref="E39:F39"/>
    <mergeCell ref="E55:F55"/>
    <mergeCell ref="E33:F33"/>
    <mergeCell ref="E14:F14"/>
    <mergeCell ref="E15:F15"/>
    <mergeCell ref="E17:F17"/>
    <mergeCell ref="E18:F18"/>
    <mergeCell ref="E19:F19"/>
    <mergeCell ref="E20:F20"/>
    <mergeCell ref="E21:F21"/>
    <mergeCell ref="E22:F22"/>
    <mergeCell ref="E35:F35"/>
    <mergeCell ref="C50:D50"/>
    <mergeCell ref="E36:F36"/>
    <mergeCell ref="E42:F42"/>
    <mergeCell ref="E43:F43"/>
    <mergeCell ref="E44:F44"/>
    <mergeCell ref="E45:F45"/>
    <mergeCell ref="E46:F46"/>
    <mergeCell ref="E47:F47"/>
    <mergeCell ref="C42:D42"/>
    <mergeCell ref="E49:F49"/>
    <mergeCell ref="E41:F41"/>
    <mergeCell ref="C64:D64"/>
    <mergeCell ref="C65:D65"/>
    <mergeCell ref="C80:D80"/>
    <mergeCell ref="C77:D77"/>
    <mergeCell ref="A14:A82"/>
    <mergeCell ref="E77:F77"/>
    <mergeCell ref="E79:F79"/>
    <mergeCell ref="E80:F80"/>
    <mergeCell ref="E81:F81"/>
    <mergeCell ref="E82:F82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37:F37"/>
    <mergeCell ref="E38:F38"/>
    <mergeCell ref="C49:D49"/>
    <mergeCell ref="B81:D82"/>
    <mergeCell ref="E69:F69"/>
    <mergeCell ref="E70:F70"/>
    <mergeCell ref="E58:F58"/>
    <mergeCell ref="E59:F59"/>
    <mergeCell ref="E60:F60"/>
    <mergeCell ref="E61:F61"/>
    <mergeCell ref="E62:F62"/>
    <mergeCell ref="E64:F64"/>
    <mergeCell ref="B72:B77"/>
    <mergeCell ref="B79:B80"/>
    <mergeCell ref="C58:D58"/>
    <mergeCell ref="C59:D59"/>
    <mergeCell ref="C60:D60"/>
    <mergeCell ref="C69:D69"/>
    <mergeCell ref="C68:D68"/>
    <mergeCell ref="C66:D66"/>
    <mergeCell ref="C67:D67"/>
    <mergeCell ref="C61:D61"/>
    <mergeCell ref="C62:D62"/>
    <mergeCell ref="C51:D51"/>
    <mergeCell ref="E57:F57"/>
    <mergeCell ref="E56:F56"/>
    <mergeCell ref="E51:F51"/>
    <mergeCell ref="E52:F52"/>
    <mergeCell ref="E53:F53"/>
    <mergeCell ref="E54:F54"/>
    <mergeCell ref="C52:D52"/>
  </mergeCells>
  <phoneticPr fontId="4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05"/>
  <sheetViews>
    <sheetView topLeftCell="A67" zoomScale="55" zoomScaleNormal="55" workbookViewId="0">
      <selection activeCell="T7" sqref="T7"/>
    </sheetView>
  </sheetViews>
  <sheetFormatPr defaultRowHeight="14.4" x14ac:dyDescent="0.3"/>
  <cols>
    <col min="1" max="1" width="13.5546875" customWidth="1"/>
    <col min="2" max="2" width="21.109375" customWidth="1"/>
    <col min="3" max="3" width="59.6640625" customWidth="1"/>
    <col min="4" max="4" width="12" customWidth="1"/>
    <col min="5" max="5" width="10.3320312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8" width="6" customWidth="1"/>
  </cols>
  <sheetData>
    <row r="1" spans="1:58" ht="17.399999999999999" thickBot="1" x14ac:dyDescent="0.35">
      <c r="A1" s="55" t="s">
        <v>3</v>
      </c>
      <c r="B1" s="55"/>
      <c r="C1" s="5" t="s">
        <v>152</v>
      </c>
      <c r="D1" s="1"/>
      <c r="E1" s="11"/>
      <c r="F1" s="12" t="s">
        <v>53</v>
      </c>
    </row>
    <row r="2" spans="1:58" ht="17.399999999999999" thickBot="1" x14ac:dyDescent="0.35">
      <c r="A2" s="55" t="s">
        <v>2</v>
      </c>
      <c r="B2" s="55"/>
      <c r="C2" s="3" t="s">
        <v>36</v>
      </c>
      <c r="D2" s="1"/>
      <c r="E2" s="13"/>
      <c r="F2" s="14" t="s">
        <v>52</v>
      </c>
    </row>
    <row r="3" spans="1:58" ht="17.399999999999999" thickBot="1" x14ac:dyDescent="0.35">
      <c r="A3" s="55" t="s">
        <v>1</v>
      </c>
      <c r="B3" s="55"/>
      <c r="C3" s="4">
        <v>45913</v>
      </c>
      <c r="D3" s="1"/>
      <c r="E3" s="15"/>
      <c r="F3" s="14" t="s">
        <v>51</v>
      </c>
    </row>
    <row r="4" spans="1:58" ht="18" customHeight="1" thickBot="1" x14ac:dyDescent="0.35">
      <c r="A4" s="55" t="s">
        <v>0</v>
      </c>
      <c r="B4" s="55"/>
      <c r="C4" s="4">
        <v>45932</v>
      </c>
      <c r="D4" s="1"/>
      <c r="E4" s="16"/>
      <c r="F4" s="14" t="s">
        <v>50</v>
      </c>
    </row>
    <row r="5" spans="1:58" ht="18" customHeight="1" thickBot="1" x14ac:dyDescent="0.35">
      <c r="A5" s="1"/>
      <c r="B5" s="1"/>
      <c r="C5" s="1"/>
      <c r="D5" s="1"/>
      <c r="E5" s="17"/>
      <c r="F5" s="18" t="s">
        <v>49</v>
      </c>
    </row>
    <row r="6" spans="1:58" ht="17.399999999999999" thickBot="1" x14ac:dyDescent="0.35">
      <c r="A6" s="1"/>
      <c r="B6" s="59" t="s">
        <v>37</v>
      </c>
      <c r="C6" s="59"/>
      <c r="D6" s="59"/>
      <c r="E6" s="60"/>
    </row>
    <row r="7" spans="1:58" ht="17.399999999999999" thickBot="1" x14ac:dyDescent="0.35">
      <c r="A7" s="1"/>
      <c r="B7" s="7" t="s">
        <v>6</v>
      </c>
      <c r="C7" s="7" t="s">
        <v>48</v>
      </c>
      <c r="D7" s="7" t="s">
        <v>11</v>
      </c>
      <c r="E7" s="7" t="s">
        <v>47</v>
      </c>
    </row>
    <row r="8" spans="1:58" ht="17.399999999999999" thickBot="1" x14ac:dyDescent="0.35">
      <c r="A8" s="1"/>
      <c r="B8" s="9">
        <v>1</v>
      </c>
      <c r="C8" s="3" t="s">
        <v>96</v>
      </c>
      <c r="D8" s="3">
        <v>78</v>
      </c>
      <c r="E8" s="3">
        <v>78</v>
      </c>
    </row>
    <row r="9" spans="1:58" ht="17.399999999999999" thickBot="1" x14ac:dyDescent="0.35">
      <c r="A9" s="1"/>
      <c r="B9" s="9">
        <v>2</v>
      </c>
      <c r="C9" s="3" t="s">
        <v>97</v>
      </c>
      <c r="D9" s="3">
        <v>76</v>
      </c>
      <c r="E9" s="3">
        <v>77</v>
      </c>
    </row>
    <row r="10" spans="1:58" ht="17.399999999999999" thickBot="1" x14ac:dyDescent="0.35">
      <c r="A10" s="1"/>
      <c r="B10" s="9">
        <v>3</v>
      </c>
      <c r="C10" s="3" t="s">
        <v>98</v>
      </c>
      <c r="D10" s="3">
        <v>73</v>
      </c>
      <c r="E10" s="3">
        <v>73</v>
      </c>
    </row>
    <row r="11" spans="1:58" ht="17.399999999999999" thickBot="1" x14ac:dyDescent="0.35">
      <c r="A11" s="1"/>
      <c r="B11" s="56" t="s">
        <v>12</v>
      </c>
      <c r="C11" s="56"/>
      <c r="D11" s="6">
        <v>227</v>
      </c>
      <c r="E11" s="6">
        <v>228</v>
      </c>
    </row>
    <row r="13" spans="1:58" ht="63.75" customHeight="1" x14ac:dyDescent="0.3">
      <c r="A13" s="26" t="s">
        <v>7</v>
      </c>
      <c r="B13" s="26" t="s">
        <v>8</v>
      </c>
      <c r="C13" s="62" t="s">
        <v>9</v>
      </c>
      <c r="D13" s="62"/>
      <c r="E13" s="62" t="s">
        <v>10</v>
      </c>
      <c r="F13" s="62"/>
      <c r="G13" s="20" t="s">
        <v>11</v>
      </c>
      <c r="H13" s="20" t="s">
        <v>47</v>
      </c>
      <c r="I13" s="21">
        <v>45967</v>
      </c>
      <c r="J13" s="21">
        <v>45968</v>
      </c>
      <c r="K13" s="21">
        <v>45969</v>
      </c>
      <c r="L13" s="21">
        <v>45970</v>
      </c>
      <c r="M13" s="21">
        <v>45971</v>
      </c>
      <c r="N13" s="21">
        <v>45972</v>
      </c>
      <c r="O13" s="21">
        <v>45973</v>
      </c>
      <c r="P13" s="21">
        <v>45974</v>
      </c>
      <c r="Q13" s="21">
        <v>45975</v>
      </c>
      <c r="R13" s="21">
        <v>45976</v>
      </c>
      <c r="S13" s="21">
        <v>45977</v>
      </c>
      <c r="T13" s="21">
        <v>45978</v>
      </c>
      <c r="U13" s="21">
        <v>45979</v>
      </c>
      <c r="V13" s="21">
        <v>45980</v>
      </c>
      <c r="W13" s="21">
        <v>45981</v>
      </c>
      <c r="X13" s="21">
        <v>45982</v>
      </c>
      <c r="Y13" s="21">
        <v>45983</v>
      </c>
      <c r="Z13" s="21">
        <v>45984</v>
      </c>
      <c r="AA13" s="21">
        <v>45985</v>
      </c>
      <c r="AB13" s="21">
        <v>45986</v>
      </c>
      <c r="AC13" s="8"/>
      <c r="AD13" s="8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6.8" x14ac:dyDescent="0.3">
      <c r="A14" s="53" t="s">
        <v>36</v>
      </c>
      <c r="B14" s="50" t="s">
        <v>13</v>
      </c>
      <c r="C14" s="50"/>
      <c r="D14" s="50"/>
      <c r="E14" s="51" t="s">
        <v>46</v>
      </c>
      <c r="F14" s="51"/>
      <c r="G14" s="22">
        <v>8</v>
      </c>
      <c r="H14" s="22">
        <v>8</v>
      </c>
      <c r="I14" s="22">
        <v>8</v>
      </c>
      <c r="J14" s="23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</row>
    <row r="15" spans="1:58" ht="16.8" x14ac:dyDescent="0.3">
      <c r="A15" s="53"/>
      <c r="B15" s="50" t="s">
        <v>43</v>
      </c>
      <c r="C15" s="50"/>
      <c r="D15" s="50"/>
      <c r="E15" s="51" t="s">
        <v>54</v>
      </c>
      <c r="F15" s="51"/>
      <c r="G15" s="22">
        <v>2</v>
      </c>
      <c r="H15" s="22">
        <v>4</v>
      </c>
      <c r="I15" s="22">
        <v>4</v>
      </c>
      <c r="J15" s="22">
        <v>2</v>
      </c>
      <c r="K15" s="23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</row>
    <row r="16" spans="1:58" ht="16.8" x14ac:dyDescent="0.3">
      <c r="A16" s="53"/>
      <c r="B16" s="51"/>
      <c r="C16" s="51"/>
      <c r="D16" s="51"/>
      <c r="E16" s="51"/>
      <c r="F16" s="51"/>
      <c r="G16" s="22"/>
      <c r="H16" s="22"/>
      <c r="I16" s="22"/>
      <c r="J16" s="22"/>
      <c r="K16" s="24">
        <v>2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6.8" x14ac:dyDescent="0.3">
      <c r="A17" s="53"/>
      <c r="B17" s="50" t="s">
        <v>15</v>
      </c>
      <c r="C17" s="50"/>
      <c r="D17" s="50"/>
      <c r="E17" s="51" t="s">
        <v>91</v>
      </c>
      <c r="F17" s="51"/>
      <c r="G17" s="22">
        <v>6</v>
      </c>
      <c r="H17" s="22">
        <v>4</v>
      </c>
      <c r="I17" s="22">
        <v>4</v>
      </c>
      <c r="J17" s="22">
        <v>4</v>
      </c>
      <c r="K17" s="22">
        <v>4</v>
      </c>
      <c r="L17" s="23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</row>
    <row r="18" spans="1:28" ht="16.8" x14ac:dyDescent="0.3">
      <c r="A18" s="53"/>
      <c r="B18" s="51"/>
      <c r="C18" s="51"/>
      <c r="D18" s="51"/>
      <c r="E18" s="51"/>
      <c r="F18" s="51"/>
      <c r="G18" s="22"/>
      <c r="H18" s="22"/>
      <c r="I18" s="22"/>
      <c r="J18" s="22"/>
      <c r="K18" s="22"/>
      <c r="L18" s="25">
        <v>2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7.25" customHeight="1" x14ac:dyDescent="0.3">
      <c r="A19" s="53"/>
      <c r="B19" s="53" t="s">
        <v>18</v>
      </c>
      <c r="C19" s="50" t="s">
        <v>101</v>
      </c>
      <c r="D19" s="50"/>
      <c r="E19" s="51" t="s">
        <v>91</v>
      </c>
      <c r="F19" s="51"/>
      <c r="G19" s="22">
        <v>1</v>
      </c>
      <c r="H19" s="22">
        <v>1</v>
      </c>
      <c r="I19" s="22">
        <v>1</v>
      </c>
      <c r="J19" s="23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</row>
    <row r="20" spans="1:28" ht="16.8" x14ac:dyDescent="0.3">
      <c r="A20" s="53"/>
      <c r="B20" s="53"/>
      <c r="C20" s="50" t="s">
        <v>102</v>
      </c>
      <c r="D20" s="50"/>
      <c r="E20" s="51" t="s">
        <v>91</v>
      </c>
      <c r="F20" s="51"/>
      <c r="G20" s="22">
        <v>1</v>
      </c>
      <c r="H20" s="22">
        <v>1</v>
      </c>
      <c r="I20" s="22">
        <v>1</v>
      </c>
      <c r="J20" s="23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8" ht="16.8" x14ac:dyDescent="0.3">
      <c r="A21" s="53"/>
      <c r="B21" s="53"/>
      <c r="C21" s="50" t="s">
        <v>103</v>
      </c>
      <c r="D21" s="50"/>
      <c r="E21" s="51" t="s">
        <v>55</v>
      </c>
      <c r="F21" s="51"/>
      <c r="G21" s="22">
        <v>1</v>
      </c>
      <c r="H21" s="22">
        <v>1</v>
      </c>
      <c r="I21" s="22">
        <v>1</v>
      </c>
      <c r="J21" s="23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8" ht="16.8" x14ac:dyDescent="0.3">
      <c r="A22" s="53"/>
      <c r="B22" s="53"/>
      <c r="C22" s="50" t="s">
        <v>104</v>
      </c>
      <c r="D22" s="50"/>
      <c r="E22" s="51" t="s">
        <v>54</v>
      </c>
      <c r="F22" s="51"/>
      <c r="G22" s="22">
        <v>1</v>
      </c>
      <c r="H22" s="22">
        <v>1</v>
      </c>
      <c r="I22" s="22">
        <v>1</v>
      </c>
      <c r="J22" s="23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</row>
    <row r="23" spans="1:28" ht="16.8" x14ac:dyDescent="0.3">
      <c r="A23" s="53"/>
      <c r="B23" s="53"/>
      <c r="C23" s="50" t="s">
        <v>105</v>
      </c>
      <c r="D23" s="50"/>
      <c r="E23" s="51" t="s">
        <v>55</v>
      </c>
      <c r="F23" s="51"/>
      <c r="G23" s="22">
        <v>1</v>
      </c>
      <c r="H23" s="22">
        <v>1</v>
      </c>
      <c r="I23" s="22">
        <v>1</v>
      </c>
      <c r="J23" s="23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</row>
    <row r="24" spans="1:28" ht="16.8" x14ac:dyDescent="0.3">
      <c r="A24" s="53"/>
      <c r="B24" s="53"/>
      <c r="C24" s="50" t="s">
        <v>106</v>
      </c>
      <c r="D24" s="50"/>
      <c r="E24" s="51" t="s">
        <v>91</v>
      </c>
      <c r="F24" s="51"/>
      <c r="G24" s="22">
        <v>1</v>
      </c>
      <c r="H24" s="22">
        <v>1</v>
      </c>
      <c r="I24" s="22">
        <v>1</v>
      </c>
      <c r="J24" s="23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</row>
    <row r="25" spans="1:28" ht="16.8" x14ac:dyDescent="0.3">
      <c r="A25" s="53"/>
      <c r="B25" s="53"/>
      <c r="C25" s="29" t="s">
        <v>107</v>
      </c>
      <c r="D25" s="29"/>
      <c r="E25" s="27"/>
      <c r="F25" s="27" t="s">
        <v>54</v>
      </c>
      <c r="G25" s="22">
        <v>1</v>
      </c>
      <c r="H25" s="22">
        <v>1</v>
      </c>
      <c r="I25" s="22">
        <v>1</v>
      </c>
      <c r="J25" s="23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</row>
    <row r="26" spans="1:28" ht="16.8" x14ac:dyDescent="0.3">
      <c r="A26" s="53"/>
      <c r="B26" s="53"/>
      <c r="C26" s="50" t="s">
        <v>44</v>
      </c>
      <c r="D26" s="50"/>
      <c r="E26" s="51" t="s">
        <v>46</v>
      </c>
      <c r="F26" s="51"/>
      <c r="G26" s="22">
        <v>5</v>
      </c>
      <c r="H26" s="22">
        <v>10</v>
      </c>
      <c r="I26" s="22">
        <v>10</v>
      </c>
      <c r="J26" s="22">
        <v>10</v>
      </c>
      <c r="K26" s="22">
        <v>10</v>
      </c>
      <c r="L26" s="22">
        <v>10</v>
      </c>
      <c r="M26" s="22">
        <v>10</v>
      </c>
      <c r="N26" s="22">
        <v>5</v>
      </c>
      <c r="O26" s="23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8" ht="16.8" x14ac:dyDescent="0.3">
      <c r="A27" s="53"/>
      <c r="B27" s="53"/>
      <c r="C27" s="51"/>
      <c r="D27" s="51"/>
      <c r="E27" s="51"/>
      <c r="F27" s="51"/>
      <c r="G27" s="22"/>
      <c r="H27" s="22"/>
      <c r="I27" s="22"/>
      <c r="J27" s="22"/>
      <c r="K27" s="22"/>
      <c r="L27" s="22"/>
      <c r="M27" s="22"/>
      <c r="N27" s="10"/>
      <c r="O27" s="24">
        <v>5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6.8" x14ac:dyDescent="0.3">
      <c r="A28" s="53"/>
      <c r="B28" s="53" t="s">
        <v>21</v>
      </c>
      <c r="C28" s="50" t="s">
        <v>108</v>
      </c>
      <c r="D28" s="50"/>
      <c r="E28" s="51" t="s">
        <v>115</v>
      </c>
      <c r="F28" s="51"/>
      <c r="G28" s="22">
        <v>2</v>
      </c>
      <c r="H28" s="22">
        <v>2</v>
      </c>
      <c r="I28" s="22">
        <v>2</v>
      </c>
      <c r="J28" s="22">
        <v>2</v>
      </c>
      <c r="K28" s="22">
        <v>2</v>
      </c>
      <c r="L28" s="23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</row>
    <row r="29" spans="1:28" ht="16.8" x14ac:dyDescent="0.3">
      <c r="A29" s="53"/>
      <c r="B29" s="53"/>
      <c r="C29" s="50" t="s">
        <v>109</v>
      </c>
      <c r="D29" s="50"/>
      <c r="E29" s="51" t="s">
        <v>115</v>
      </c>
      <c r="F29" s="51"/>
      <c r="G29" s="22">
        <v>2</v>
      </c>
      <c r="H29" s="22">
        <v>2</v>
      </c>
      <c r="I29" s="22">
        <v>2</v>
      </c>
      <c r="J29" s="22">
        <v>2</v>
      </c>
      <c r="K29" s="22">
        <v>2</v>
      </c>
      <c r="L29" s="22">
        <v>2</v>
      </c>
      <c r="M29" s="23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16.8" x14ac:dyDescent="0.3">
      <c r="A30" s="53"/>
      <c r="B30" s="53"/>
      <c r="C30" s="51"/>
      <c r="D30" s="51"/>
      <c r="E30" s="51"/>
      <c r="F30" s="51"/>
      <c r="G30" s="22"/>
      <c r="H30" s="22"/>
      <c r="I30" s="22"/>
      <c r="J30" s="22"/>
      <c r="K30" s="22"/>
      <c r="L30" s="22"/>
      <c r="M30" s="25">
        <v>2</v>
      </c>
      <c r="N30" s="22"/>
      <c r="O30" s="10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6.8" x14ac:dyDescent="0.3">
      <c r="A31" s="53"/>
      <c r="B31" s="53"/>
      <c r="C31" s="50" t="s">
        <v>110</v>
      </c>
      <c r="D31" s="50"/>
      <c r="E31" s="51" t="s">
        <v>116</v>
      </c>
      <c r="F31" s="51"/>
      <c r="G31" s="22">
        <v>2</v>
      </c>
      <c r="H31" s="22">
        <v>2</v>
      </c>
      <c r="I31" s="22">
        <v>2</v>
      </c>
      <c r="J31" s="22">
        <v>2</v>
      </c>
      <c r="K31" s="22">
        <v>2</v>
      </c>
      <c r="L31" s="22">
        <v>2</v>
      </c>
      <c r="M31" s="22">
        <v>2</v>
      </c>
      <c r="N31" s="23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</row>
    <row r="32" spans="1:28" ht="16.8" x14ac:dyDescent="0.3">
      <c r="A32" s="53"/>
      <c r="B32" s="53"/>
      <c r="C32" s="50" t="s">
        <v>111</v>
      </c>
      <c r="D32" s="50"/>
      <c r="E32" s="51" t="s">
        <v>117</v>
      </c>
      <c r="F32" s="51"/>
      <c r="G32" s="22">
        <v>2</v>
      </c>
      <c r="H32" s="22">
        <v>2</v>
      </c>
      <c r="I32" s="22">
        <v>2</v>
      </c>
      <c r="J32" s="22">
        <v>2</v>
      </c>
      <c r="K32" s="22">
        <v>2</v>
      </c>
      <c r="L32" s="22">
        <v>2</v>
      </c>
      <c r="M32" s="22">
        <v>2</v>
      </c>
      <c r="N32" s="23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</row>
    <row r="33" spans="1:28" ht="16.8" x14ac:dyDescent="0.3">
      <c r="A33" s="53"/>
      <c r="B33" s="53"/>
      <c r="C33" s="50" t="s">
        <v>112</v>
      </c>
      <c r="D33" s="50"/>
      <c r="E33" s="51" t="s">
        <v>116</v>
      </c>
      <c r="F33" s="51"/>
      <c r="G33" s="22">
        <v>2</v>
      </c>
      <c r="H33" s="22">
        <v>2</v>
      </c>
      <c r="I33" s="22">
        <v>2</v>
      </c>
      <c r="J33" s="22">
        <v>2</v>
      </c>
      <c r="K33" s="22">
        <v>2</v>
      </c>
      <c r="L33" s="22">
        <v>2</v>
      </c>
      <c r="M33" s="22">
        <v>2</v>
      </c>
      <c r="N33" s="22">
        <v>2</v>
      </c>
      <c r="O33" s="22">
        <v>2</v>
      </c>
      <c r="P33" s="22">
        <v>2</v>
      </c>
      <c r="Q33" s="22">
        <v>2</v>
      </c>
      <c r="R33" s="22">
        <v>2</v>
      </c>
      <c r="S33" s="22">
        <v>2</v>
      </c>
      <c r="T33" s="22">
        <v>2</v>
      </c>
      <c r="U33" s="22">
        <v>2</v>
      </c>
      <c r="V33" s="22">
        <v>2</v>
      </c>
      <c r="W33" s="22">
        <v>2</v>
      </c>
      <c r="X33" s="23">
        <v>0</v>
      </c>
      <c r="Y33" s="22">
        <v>0</v>
      </c>
      <c r="Z33" s="22">
        <v>0</v>
      </c>
      <c r="AA33" s="22">
        <v>0</v>
      </c>
      <c r="AB33" s="22">
        <v>0</v>
      </c>
    </row>
    <row r="34" spans="1:28" ht="16.8" x14ac:dyDescent="0.3">
      <c r="A34" s="53"/>
      <c r="B34" s="53"/>
      <c r="C34" s="50" t="s">
        <v>113</v>
      </c>
      <c r="D34" s="50"/>
      <c r="E34" s="51" t="s">
        <v>115</v>
      </c>
      <c r="F34" s="51"/>
      <c r="G34" s="22">
        <v>2</v>
      </c>
      <c r="H34" s="22">
        <v>2</v>
      </c>
      <c r="I34" s="22">
        <v>2</v>
      </c>
      <c r="J34" s="22">
        <v>2</v>
      </c>
      <c r="K34" s="22">
        <v>2</v>
      </c>
      <c r="L34" s="22">
        <v>2</v>
      </c>
      <c r="M34" s="22">
        <v>2</v>
      </c>
      <c r="N34" s="22">
        <v>2</v>
      </c>
      <c r="O34" s="22">
        <v>2</v>
      </c>
      <c r="P34" s="22">
        <v>2</v>
      </c>
      <c r="Q34" s="22">
        <v>2</v>
      </c>
      <c r="R34" s="22">
        <v>2</v>
      </c>
      <c r="S34" s="23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</row>
    <row r="35" spans="1:28" ht="16.8" x14ac:dyDescent="0.3">
      <c r="A35" s="53"/>
      <c r="B35" s="53"/>
      <c r="C35" s="29" t="s">
        <v>114</v>
      </c>
      <c r="D35" s="29"/>
      <c r="E35" s="27"/>
      <c r="F35" s="27" t="s">
        <v>117</v>
      </c>
      <c r="G35" s="22">
        <v>2</v>
      </c>
      <c r="H35" s="22">
        <v>2</v>
      </c>
      <c r="I35" s="22">
        <v>2</v>
      </c>
      <c r="J35" s="22">
        <v>2</v>
      </c>
      <c r="K35" s="22">
        <v>2</v>
      </c>
      <c r="L35" s="22">
        <v>2</v>
      </c>
      <c r="M35" s="22">
        <v>2</v>
      </c>
      <c r="N35" s="22">
        <v>2</v>
      </c>
      <c r="O35" s="22">
        <v>2</v>
      </c>
      <c r="P35" s="22">
        <v>2</v>
      </c>
      <c r="Q35" s="22">
        <v>2</v>
      </c>
      <c r="R35" s="22">
        <v>2</v>
      </c>
      <c r="S35" s="23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28" ht="16.8" x14ac:dyDescent="0.3">
      <c r="A36" s="53"/>
      <c r="B36" s="53"/>
      <c r="C36" s="50" t="s">
        <v>45</v>
      </c>
      <c r="D36" s="50"/>
      <c r="E36" s="51" t="s">
        <v>46</v>
      </c>
      <c r="F36" s="51"/>
      <c r="G36" s="22">
        <v>7</v>
      </c>
      <c r="H36" s="22">
        <v>10</v>
      </c>
      <c r="I36" s="22">
        <v>10</v>
      </c>
      <c r="J36" s="22">
        <v>10</v>
      </c>
      <c r="K36" s="22">
        <v>10</v>
      </c>
      <c r="L36" s="22">
        <v>10</v>
      </c>
      <c r="M36" s="22">
        <v>10</v>
      </c>
      <c r="N36" s="22">
        <v>10</v>
      </c>
      <c r="O36" s="22">
        <v>10</v>
      </c>
      <c r="P36" s="22">
        <v>10</v>
      </c>
      <c r="Q36" s="22">
        <v>10</v>
      </c>
      <c r="R36" s="22">
        <v>10</v>
      </c>
      <c r="S36" s="22">
        <v>10</v>
      </c>
      <c r="T36" s="22">
        <v>10</v>
      </c>
      <c r="U36" s="22">
        <v>10</v>
      </c>
      <c r="V36" s="22">
        <v>10</v>
      </c>
      <c r="W36" s="22">
        <v>7</v>
      </c>
      <c r="X36" s="23">
        <v>0</v>
      </c>
      <c r="Y36" s="22">
        <v>0</v>
      </c>
      <c r="Z36" s="22">
        <v>0</v>
      </c>
      <c r="AA36" s="22">
        <v>0</v>
      </c>
      <c r="AB36" s="22">
        <v>0</v>
      </c>
    </row>
    <row r="37" spans="1:28" ht="16.8" x14ac:dyDescent="0.3">
      <c r="A37" s="53"/>
      <c r="B37" s="53"/>
      <c r="C37" s="51"/>
      <c r="D37" s="51"/>
      <c r="E37" s="51"/>
      <c r="F37" s="5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4">
        <v>3</v>
      </c>
      <c r="Y37" s="22"/>
      <c r="Z37" s="22"/>
      <c r="AA37" s="22"/>
      <c r="AB37" s="22"/>
    </row>
    <row r="38" spans="1:28" ht="16.8" x14ac:dyDescent="0.3">
      <c r="A38" s="53"/>
      <c r="B38" s="53" t="s">
        <v>25</v>
      </c>
      <c r="C38" s="50" t="s">
        <v>118</v>
      </c>
      <c r="D38" s="50"/>
      <c r="E38" s="51" t="s">
        <v>91</v>
      </c>
      <c r="F38" s="51"/>
      <c r="G38" s="22">
        <v>5</v>
      </c>
      <c r="H38" s="22">
        <v>6</v>
      </c>
      <c r="I38" s="22">
        <v>6</v>
      </c>
      <c r="J38" s="22">
        <v>6</v>
      </c>
      <c r="K38" s="22">
        <v>6</v>
      </c>
      <c r="L38" s="22">
        <v>6</v>
      </c>
      <c r="M38" s="22">
        <v>5</v>
      </c>
      <c r="N38" s="23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16.8" x14ac:dyDescent="0.3">
      <c r="A39" s="53"/>
      <c r="B39" s="53"/>
      <c r="C39" s="51"/>
      <c r="D39" s="51"/>
      <c r="E39" s="51"/>
      <c r="F39" s="51"/>
      <c r="G39" s="22"/>
      <c r="H39" s="22"/>
      <c r="I39" s="22"/>
      <c r="J39" s="22"/>
      <c r="K39" s="22"/>
      <c r="L39" s="22"/>
      <c r="M39" s="22"/>
      <c r="N39" s="24">
        <v>1</v>
      </c>
      <c r="O39" s="22"/>
      <c r="P39" s="22"/>
      <c r="Q39" s="22"/>
      <c r="R39" s="10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16.8" x14ac:dyDescent="0.3">
      <c r="A40" s="53"/>
      <c r="B40" s="53"/>
      <c r="C40" s="50" t="s">
        <v>124</v>
      </c>
      <c r="D40" s="50"/>
      <c r="E40" s="51" t="s">
        <v>91</v>
      </c>
      <c r="F40" s="51"/>
      <c r="G40" s="22">
        <v>6</v>
      </c>
      <c r="H40" s="22">
        <v>6</v>
      </c>
      <c r="I40" s="22">
        <v>6</v>
      </c>
      <c r="J40" s="22">
        <v>6</v>
      </c>
      <c r="K40" s="22">
        <v>6</v>
      </c>
      <c r="L40" s="22">
        <v>6</v>
      </c>
      <c r="M40" s="22">
        <v>6</v>
      </c>
      <c r="N40" s="23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</row>
    <row r="41" spans="1:28" ht="16.8" x14ac:dyDescent="0.3">
      <c r="A41" s="53"/>
      <c r="B41" s="53"/>
      <c r="C41" s="50" t="s">
        <v>125</v>
      </c>
      <c r="D41" s="50"/>
      <c r="E41" s="51" t="s">
        <v>91</v>
      </c>
      <c r="F41" s="51"/>
      <c r="G41" s="22">
        <v>4</v>
      </c>
      <c r="H41" s="22">
        <v>4</v>
      </c>
      <c r="I41" s="22">
        <v>4</v>
      </c>
      <c r="J41" s="22">
        <v>4</v>
      </c>
      <c r="K41" s="22">
        <v>4</v>
      </c>
      <c r="L41" s="22">
        <v>4</v>
      </c>
      <c r="M41" s="22">
        <v>4</v>
      </c>
      <c r="N41" s="23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</row>
    <row r="42" spans="1:28" ht="16.8" x14ac:dyDescent="0.3">
      <c r="A42" s="53"/>
      <c r="B42" s="53"/>
      <c r="C42" s="50" t="s">
        <v>119</v>
      </c>
      <c r="D42" s="50"/>
      <c r="E42" s="51" t="s">
        <v>91</v>
      </c>
      <c r="F42" s="51"/>
      <c r="G42" s="22">
        <v>6</v>
      </c>
      <c r="H42" s="22">
        <v>4</v>
      </c>
      <c r="I42" s="22">
        <v>4</v>
      </c>
      <c r="J42" s="22">
        <v>4</v>
      </c>
      <c r="K42" s="22">
        <v>4</v>
      </c>
      <c r="L42" s="22">
        <v>4</v>
      </c>
      <c r="M42" s="22">
        <v>4</v>
      </c>
      <c r="N42" s="23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</row>
    <row r="43" spans="1:28" ht="16.8" x14ac:dyDescent="0.3">
      <c r="A43" s="53"/>
      <c r="B43" s="53"/>
      <c r="C43" s="64"/>
      <c r="D43" s="64"/>
      <c r="E43" s="51"/>
      <c r="F43" s="51"/>
      <c r="G43" s="22"/>
      <c r="H43" s="22"/>
      <c r="I43" s="22"/>
      <c r="J43" s="22"/>
      <c r="K43" s="22"/>
      <c r="L43" s="22"/>
      <c r="M43" s="22"/>
      <c r="N43" s="25">
        <v>2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6.8" x14ac:dyDescent="0.3">
      <c r="A44" s="53"/>
      <c r="B44" s="53"/>
      <c r="C44" s="50" t="s">
        <v>120</v>
      </c>
      <c r="D44" s="50"/>
      <c r="E44" s="51" t="s">
        <v>55</v>
      </c>
      <c r="F44" s="51"/>
      <c r="G44" s="22">
        <v>5</v>
      </c>
      <c r="H44" s="22">
        <v>5</v>
      </c>
      <c r="I44" s="22">
        <v>5</v>
      </c>
      <c r="J44" s="22">
        <v>5</v>
      </c>
      <c r="K44" s="22">
        <v>5</v>
      </c>
      <c r="L44" s="22">
        <v>5</v>
      </c>
      <c r="M44" s="22">
        <v>5</v>
      </c>
      <c r="N44" s="23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28" ht="16.8" x14ac:dyDescent="0.3">
      <c r="A45" s="53"/>
      <c r="B45" s="53"/>
      <c r="C45" s="50" t="s">
        <v>126</v>
      </c>
      <c r="D45" s="50"/>
      <c r="E45" s="51" t="s">
        <v>55</v>
      </c>
      <c r="F45" s="51"/>
      <c r="G45" s="22">
        <v>5</v>
      </c>
      <c r="H45" s="22">
        <v>5</v>
      </c>
      <c r="I45" s="22">
        <v>5</v>
      </c>
      <c r="J45" s="22">
        <v>5</v>
      </c>
      <c r="K45" s="22">
        <v>5</v>
      </c>
      <c r="L45" s="22">
        <v>5</v>
      </c>
      <c r="M45" s="22">
        <v>5</v>
      </c>
      <c r="N45" s="23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28" ht="16.8" x14ac:dyDescent="0.3">
      <c r="A46" s="53"/>
      <c r="B46" s="53"/>
      <c r="C46" s="50" t="s">
        <v>127</v>
      </c>
      <c r="D46" s="50"/>
      <c r="E46" s="51" t="s">
        <v>54</v>
      </c>
      <c r="F46" s="51"/>
      <c r="G46" s="22">
        <v>6</v>
      </c>
      <c r="H46" s="22">
        <v>6</v>
      </c>
      <c r="I46" s="22">
        <v>6</v>
      </c>
      <c r="J46" s="22">
        <v>6</v>
      </c>
      <c r="K46" s="22">
        <v>6</v>
      </c>
      <c r="L46" s="22">
        <v>6</v>
      </c>
      <c r="M46" s="22">
        <v>6</v>
      </c>
      <c r="N46" s="23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28" ht="16.8" x14ac:dyDescent="0.3">
      <c r="A47" s="53"/>
      <c r="B47" s="53"/>
      <c r="C47" s="50" t="s">
        <v>121</v>
      </c>
      <c r="D47" s="50"/>
      <c r="E47" s="51" t="s">
        <v>54</v>
      </c>
      <c r="F47" s="51"/>
      <c r="G47" s="22">
        <v>6</v>
      </c>
      <c r="H47" s="22">
        <v>6</v>
      </c>
      <c r="I47" s="22">
        <v>6</v>
      </c>
      <c r="J47" s="22">
        <v>6</v>
      </c>
      <c r="K47" s="22">
        <v>6</v>
      </c>
      <c r="L47" s="22">
        <v>6</v>
      </c>
      <c r="M47" s="22">
        <v>6</v>
      </c>
      <c r="N47" s="23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</row>
    <row r="48" spans="1:28" ht="16.8" x14ac:dyDescent="0.3">
      <c r="A48" s="53"/>
      <c r="B48" s="53"/>
      <c r="C48" s="50" t="s">
        <v>122</v>
      </c>
      <c r="D48" s="50"/>
      <c r="E48" s="51" t="s">
        <v>55</v>
      </c>
      <c r="F48" s="51"/>
      <c r="G48" s="22">
        <v>7</v>
      </c>
      <c r="H48" s="22">
        <v>6</v>
      </c>
      <c r="I48" s="22">
        <v>6</v>
      </c>
      <c r="J48" s="22">
        <v>6</v>
      </c>
      <c r="K48" s="22">
        <v>6</v>
      </c>
      <c r="L48" s="22">
        <v>6</v>
      </c>
      <c r="M48" s="22">
        <v>6</v>
      </c>
      <c r="N48" s="22">
        <v>6</v>
      </c>
      <c r="O48" s="22">
        <v>6</v>
      </c>
      <c r="P48" s="22">
        <v>6</v>
      </c>
      <c r="Q48" s="22">
        <v>6</v>
      </c>
      <c r="R48" s="22">
        <v>6</v>
      </c>
      <c r="S48" s="22">
        <v>6</v>
      </c>
      <c r="T48" s="22">
        <v>6</v>
      </c>
      <c r="U48" s="22">
        <v>6</v>
      </c>
      <c r="V48" s="22">
        <v>6</v>
      </c>
      <c r="W48" s="22">
        <v>6</v>
      </c>
      <c r="X48" s="23">
        <v>0</v>
      </c>
      <c r="Y48" s="22">
        <v>0</v>
      </c>
      <c r="Z48" s="22">
        <v>0</v>
      </c>
      <c r="AA48" s="22">
        <v>0</v>
      </c>
      <c r="AB48" s="22">
        <v>0</v>
      </c>
    </row>
    <row r="49" spans="1:28" ht="16.8" x14ac:dyDescent="0.3">
      <c r="A49" s="53"/>
      <c r="B49" s="53"/>
      <c r="C49" s="51"/>
      <c r="D49" s="51"/>
      <c r="E49" s="51"/>
      <c r="F49" s="51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10"/>
      <c r="V49" s="10"/>
      <c r="W49" s="10"/>
      <c r="X49" s="25">
        <v>1</v>
      </c>
      <c r="Y49" s="22"/>
      <c r="Z49" s="22"/>
      <c r="AA49" s="22"/>
      <c r="AB49" s="22"/>
    </row>
    <row r="50" spans="1:28" ht="16.8" x14ac:dyDescent="0.3">
      <c r="A50" s="53"/>
      <c r="B50" s="53"/>
      <c r="C50" s="50" t="s">
        <v>128</v>
      </c>
      <c r="D50" s="50"/>
      <c r="E50" s="51" t="s">
        <v>55</v>
      </c>
      <c r="F50" s="51"/>
      <c r="G50" s="22">
        <v>6</v>
      </c>
      <c r="H50" s="22">
        <v>6</v>
      </c>
      <c r="I50" s="22">
        <v>6</v>
      </c>
      <c r="J50" s="22">
        <v>6</v>
      </c>
      <c r="K50" s="22">
        <v>6</v>
      </c>
      <c r="L50" s="22">
        <v>6</v>
      </c>
      <c r="M50" s="22">
        <v>6</v>
      </c>
      <c r="N50" s="22">
        <v>6</v>
      </c>
      <c r="O50" s="22">
        <v>6</v>
      </c>
      <c r="P50" s="22">
        <v>6</v>
      </c>
      <c r="Q50" s="22">
        <v>6</v>
      </c>
      <c r="R50" s="22">
        <v>6</v>
      </c>
      <c r="S50" s="22">
        <v>6</v>
      </c>
      <c r="T50" s="22">
        <v>6</v>
      </c>
      <c r="U50" s="22">
        <v>6</v>
      </c>
      <c r="V50" s="22">
        <v>6</v>
      </c>
      <c r="W50" s="22">
        <v>6</v>
      </c>
      <c r="X50" s="23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 ht="16.8" x14ac:dyDescent="0.3">
      <c r="A51" s="53"/>
      <c r="B51" s="53"/>
      <c r="C51" s="50" t="s">
        <v>129</v>
      </c>
      <c r="D51" s="50"/>
      <c r="E51" s="51" t="s">
        <v>91</v>
      </c>
      <c r="F51" s="51"/>
      <c r="G51" s="22">
        <v>6</v>
      </c>
      <c r="H51" s="22">
        <v>6</v>
      </c>
      <c r="I51" s="22">
        <v>6</v>
      </c>
      <c r="J51" s="22">
        <v>6</v>
      </c>
      <c r="K51" s="22">
        <v>6</v>
      </c>
      <c r="L51" s="22">
        <v>6</v>
      </c>
      <c r="M51" s="22">
        <v>6</v>
      </c>
      <c r="N51" s="22">
        <v>6</v>
      </c>
      <c r="O51" s="22">
        <v>6</v>
      </c>
      <c r="P51" s="22">
        <v>6</v>
      </c>
      <c r="Q51" s="22">
        <v>6</v>
      </c>
      <c r="R51" s="22">
        <v>6</v>
      </c>
      <c r="S51" s="23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</row>
    <row r="52" spans="1:28" ht="16.8" x14ac:dyDescent="0.3">
      <c r="A52" s="53"/>
      <c r="B52" s="53"/>
      <c r="C52" s="50" t="s">
        <v>123</v>
      </c>
      <c r="D52" s="50"/>
      <c r="E52" s="51" t="s">
        <v>91</v>
      </c>
      <c r="F52" s="51"/>
      <c r="G52" s="22">
        <v>6</v>
      </c>
      <c r="H52" s="22">
        <v>6</v>
      </c>
      <c r="I52" s="22">
        <v>6</v>
      </c>
      <c r="J52" s="22">
        <v>6</v>
      </c>
      <c r="K52" s="22">
        <v>6</v>
      </c>
      <c r="L52" s="22">
        <v>6</v>
      </c>
      <c r="M52" s="22">
        <v>6</v>
      </c>
      <c r="N52" s="22">
        <v>6</v>
      </c>
      <c r="O52" s="22">
        <v>6</v>
      </c>
      <c r="P52" s="22">
        <v>6</v>
      </c>
      <c r="Q52" s="22">
        <v>6</v>
      </c>
      <c r="R52" s="22">
        <v>6</v>
      </c>
      <c r="S52" s="23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</row>
    <row r="53" spans="1:28" ht="16.8" x14ac:dyDescent="0.3">
      <c r="A53" s="53"/>
      <c r="B53" s="53"/>
      <c r="C53" s="29" t="s">
        <v>130</v>
      </c>
      <c r="D53" s="29"/>
      <c r="E53" s="27"/>
      <c r="F53" s="27" t="s">
        <v>54</v>
      </c>
      <c r="G53" s="22">
        <v>6</v>
      </c>
      <c r="H53" s="22">
        <v>6</v>
      </c>
      <c r="I53" s="22">
        <v>6</v>
      </c>
      <c r="J53" s="22">
        <v>6</v>
      </c>
      <c r="K53" s="22">
        <v>6</v>
      </c>
      <c r="L53" s="22">
        <v>6</v>
      </c>
      <c r="M53" s="22">
        <v>6</v>
      </c>
      <c r="N53" s="22">
        <v>6</v>
      </c>
      <c r="O53" s="22">
        <v>6</v>
      </c>
      <c r="P53" s="22">
        <v>6</v>
      </c>
      <c r="Q53" s="22">
        <v>6</v>
      </c>
      <c r="R53" s="22">
        <v>6</v>
      </c>
      <c r="S53" s="23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</row>
    <row r="54" spans="1:28" ht="16.8" x14ac:dyDescent="0.3">
      <c r="A54" s="53"/>
      <c r="B54" s="53"/>
      <c r="C54" s="29" t="s">
        <v>131</v>
      </c>
      <c r="D54" s="29"/>
      <c r="E54" s="27"/>
      <c r="F54" s="27" t="s">
        <v>54</v>
      </c>
      <c r="G54" s="22">
        <v>6</v>
      </c>
      <c r="H54" s="22">
        <v>6</v>
      </c>
      <c r="I54" s="22">
        <v>6</v>
      </c>
      <c r="J54" s="22">
        <v>6</v>
      </c>
      <c r="K54" s="22">
        <v>6</v>
      </c>
      <c r="L54" s="22">
        <v>6</v>
      </c>
      <c r="M54" s="22">
        <v>6</v>
      </c>
      <c r="N54" s="22">
        <v>6</v>
      </c>
      <c r="O54" s="22">
        <v>6</v>
      </c>
      <c r="P54" s="22">
        <v>6</v>
      </c>
      <c r="Q54" s="22">
        <v>6</v>
      </c>
      <c r="R54" s="22">
        <v>6</v>
      </c>
      <c r="S54" s="23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</row>
    <row r="55" spans="1:28" ht="16.8" x14ac:dyDescent="0.3">
      <c r="A55" s="53"/>
      <c r="B55" s="53"/>
      <c r="C55" s="50" t="s">
        <v>24</v>
      </c>
      <c r="D55" s="50"/>
      <c r="E55" s="51" t="s">
        <v>46</v>
      </c>
      <c r="F55" s="51"/>
      <c r="G55" s="22">
        <v>10</v>
      </c>
      <c r="H55" s="22">
        <v>10</v>
      </c>
      <c r="I55" s="22">
        <v>10</v>
      </c>
      <c r="J55" s="22">
        <v>10</v>
      </c>
      <c r="K55" s="22">
        <v>10</v>
      </c>
      <c r="L55" s="22">
        <v>10</v>
      </c>
      <c r="M55" s="22">
        <v>10</v>
      </c>
      <c r="N55" s="22">
        <v>10</v>
      </c>
      <c r="O55" s="22">
        <v>10</v>
      </c>
      <c r="P55" s="22">
        <v>10</v>
      </c>
      <c r="Q55" s="22">
        <v>10</v>
      </c>
      <c r="R55" s="22">
        <v>10</v>
      </c>
      <c r="S55" s="22">
        <v>10</v>
      </c>
      <c r="T55" s="22">
        <v>10</v>
      </c>
      <c r="U55" s="22">
        <v>10</v>
      </c>
      <c r="V55" s="22">
        <v>10</v>
      </c>
      <c r="W55" s="22">
        <v>10</v>
      </c>
      <c r="X55" s="22">
        <v>10</v>
      </c>
      <c r="Y55" s="23">
        <v>0</v>
      </c>
      <c r="Z55" s="22">
        <v>0</v>
      </c>
      <c r="AA55" s="22">
        <v>0</v>
      </c>
      <c r="AB55" s="22">
        <v>0</v>
      </c>
    </row>
    <row r="56" spans="1:28" ht="16.8" x14ac:dyDescent="0.3">
      <c r="A56" s="53"/>
      <c r="B56" s="53" t="s">
        <v>28</v>
      </c>
      <c r="C56" s="50" t="s">
        <v>132</v>
      </c>
      <c r="D56" s="50"/>
      <c r="E56" s="51" t="s">
        <v>54</v>
      </c>
      <c r="F56" s="51"/>
      <c r="G56" s="22">
        <v>3</v>
      </c>
      <c r="H56" s="22">
        <v>3</v>
      </c>
      <c r="I56" s="22">
        <v>3</v>
      </c>
      <c r="J56" s="22">
        <v>3</v>
      </c>
      <c r="K56" s="22">
        <v>3</v>
      </c>
      <c r="L56" s="22">
        <v>3</v>
      </c>
      <c r="M56" s="23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</row>
    <row r="57" spans="1:28" ht="16.8" x14ac:dyDescent="0.3">
      <c r="A57" s="53"/>
      <c r="B57" s="53"/>
      <c r="C57" s="50" t="s">
        <v>133</v>
      </c>
      <c r="D57" s="50"/>
      <c r="E57" s="51" t="s">
        <v>54</v>
      </c>
      <c r="F57" s="51"/>
      <c r="G57" s="22">
        <v>5</v>
      </c>
      <c r="H57" s="22">
        <v>3</v>
      </c>
      <c r="I57" s="22">
        <v>3</v>
      </c>
      <c r="J57" s="22">
        <v>3</v>
      </c>
      <c r="K57" s="22">
        <v>3</v>
      </c>
      <c r="L57" s="22">
        <v>3</v>
      </c>
      <c r="M57" s="22">
        <v>3</v>
      </c>
      <c r="N57" s="23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</row>
    <row r="58" spans="1:28" ht="16.8" x14ac:dyDescent="0.3">
      <c r="A58" s="53"/>
      <c r="B58" s="53"/>
      <c r="C58" s="51"/>
      <c r="D58" s="51"/>
      <c r="E58" s="51"/>
      <c r="F58" s="51"/>
      <c r="G58" s="22"/>
      <c r="H58" s="22"/>
      <c r="I58" s="22"/>
      <c r="J58" s="22"/>
      <c r="K58" s="22"/>
      <c r="L58" s="22"/>
      <c r="M58" s="22"/>
      <c r="N58" s="25">
        <v>2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6.8" x14ac:dyDescent="0.3">
      <c r="A59" s="53"/>
      <c r="B59" s="53"/>
      <c r="C59" s="50" t="s">
        <v>134</v>
      </c>
      <c r="D59" s="50"/>
      <c r="E59" s="51" t="s">
        <v>91</v>
      </c>
      <c r="F59" s="51"/>
      <c r="G59" s="22">
        <v>3</v>
      </c>
      <c r="H59" s="22">
        <v>3</v>
      </c>
      <c r="I59" s="22">
        <v>3</v>
      </c>
      <c r="J59" s="22">
        <v>3</v>
      </c>
      <c r="K59" s="22">
        <v>3</v>
      </c>
      <c r="L59" s="22">
        <v>3</v>
      </c>
      <c r="M59" s="22">
        <v>3</v>
      </c>
      <c r="N59" s="23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</row>
    <row r="60" spans="1:28" ht="16.8" x14ac:dyDescent="0.3">
      <c r="A60" s="53"/>
      <c r="B60" s="53"/>
      <c r="C60" s="50" t="s">
        <v>135</v>
      </c>
      <c r="D60" s="50"/>
      <c r="E60" s="51" t="s">
        <v>55</v>
      </c>
      <c r="F60" s="51"/>
      <c r="G60" s="22">
        <v>4</v>
      </c>
      <c r="H60" s="22">
        <v>4</v>
      </c>
      <c r="I60" s="22">
        <v>4</v>
      </c>
      <c r="J60" s="22">
        <v>4</v>
      </c>
      <c r="K60" s="22">
        <v>4</v>
      </c>
      <c r="L60" s="22">
        <v>4</v>
      </c>
      <c r="M60" s="22">
        <v>4</v>
      </c>
      <c r="N60" s="23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</row>
    <row r="61" spans="1:28" ht="16.8" x14ac:dyDescent="0.3">
      <c r="A61" s="53"/>
      <c r="B61" s="53"/>
      <c r="C61" s="50" t="s">
        <v>136</v>
      </c>
      <c r="D61" s="50"/>
      <c r="E61" s="51" t="s">
        <v>54</v>
      </c>
      <c r="F61" s="51"/>
      <c r="G61" s="22">
        <v>4</v>
      </c>
      <c r="H61" s="22">
        <v>4</v>
      </c>
      <c r="I61" s="22">
        <v>4</v>
      </c>
      <c r="J61" s="22">
        <v>4</v>
      </c>
      <c r="K61" s="22">
        <v>4</v>
      </c>
      <c r="L61" s="22">
        <v>4</v>
      </c>
      <c r="M61" s="22">
        <v>4</v>
      </c>
      <c r="N61" s="22">
        <v>4</v>
      </c>
      <c r="O61" s="22">
        <v>4</v>
      </c>
      <c r="P61" s="22">
        <v>4</v>
      </c>
      <c r="Q61" s="22">
        <v>4</v>
      </c>
      <c r="R61" s="22">
        <v>4</v>
      </c>
      <c r="S61" s="22">
        <v>4</v>
      </c>
      <c r="T61" s="22">
        <v>4</v>
      </c>
      <c r="U61" s="22">
        <v>4</v>
      </c>
      <c r="V61" s="22">
        <v>4</v>
      </c>
      <c r="W61" s="22">
        <v>4</v>
      </c>
      <c r="X61" s="23">
        <v>0</v>
      </c>
      <c r="Y61" s="22">
        <v>0</v>
      </c>
      <c r="Z61" s="22">
        <v>0</v>
      </c>
      <c r="AA61" s="22">
        <v>0</v>
      </c>
      <c r="AB61" s="22">
        <v>0</v>
      </c>
    </row>
    <row r="62" spans="1:28" ht="16.8" x14ac:dyDescent="0.3">
      <c r="A62" s="53"/>
      <c r="B62" s="53"/>
      <c r="C62" s="65" t="s">
        <v>137</v>
      </c>
      <c r="D62" s="66"/>
      <c r="E62" s="27"/>
      <c r="F62" s="27" t="s">
        <v>54</v>
      </c>
      <c r="G62" s="22">
        <v>3</v>
      </c>
      <c r="H62" s="22">
        <v>3</v>
      </c>
      <c r="I62" s="22">
        <v>3</v>
      </c>
      <c r="J62" s="22">
        <v>3</v>
      </c>
      <c r="K62" s="22">
        <v>3</v>
      </c>
      <c r="L62" s="22">
        <v>3</v>
      </c>
      <c r="M62" s="22">
        <v>3</v>
      </c>
      <c r="N62" s="22">
        <v>3</v>
      </c>
      <c r="O62" s="22">
        <v>3</v>
      </c>
      <c r="P62" s="22">
        <v>3</v>
      </c>
      <c r="Q62" s="22">
        <v>3</v>
      </c>
      <c r="R62" s="22">
        <v>3</v>
      </c>
      <c r="S62" s="23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</row>
    <row r="63" spans="1:28" ht="16.8" x14ac:dyDescent="0.3">
      <c r="A63" s="53"/>
      <c r="B63" s="53"/>
      <c r="C63" t="s">
        <v>138</v>
      </c>
      <c r="E63" s="51" t="s">
        <v>55</v>
      </c>
      <c r="F63" s="51"/>
      <c r="G63" s="22">
        <v>3</v>
      </c>
      <c r="H63" s="22">
        <v>3</v>
      </c>
      <c r="I63" s="22">
        <v>3</v>
      </c>
      <c r="J63" s="22">
        <v>3</v>
      </c>
      <c r="K63" s="22">
        <v>3</v>
      </c>
      <c r="L63" s="22">
        <v>3</v>
      </c>
      <c r="M63" s="22">
        <v>3</v>
      </c>
      <c r="N63" s="22">
        <v>3</v>
      </c>
      <c r="O63" s="22">
        <v>3</v>
      </c>
      <c r="P63" s="22">
        <v>3</v>
      </c>
      <c r="Q63" s="22">
        <v>3</v>
      </c>
      <c r="R63" s="22">
        <v>3</v>
      </c>
      <c r="S63" s="23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</row>
    <row r="64" spans="1:28" ht="16.8" x14ac:dyDescent="0.3">
      <c r="A64" s="53"/>
      <c r="B64" s="53" t="s">
        <v>31</v>
      </c>
      <c r="C64" s="50" t="s">
        <v>139</v>
      </c>
      <c r="D64" s="50"/>
      <c r="E64" s="51" t="s">
        <v>91</v>
      </c>
      <c r="F64" s="51"/>
      <c r="G64" s="22">
        <v>6</v>
      </c>
      <c r="H64" s="22">
        <v>6</v>
      </c>
      <c r="I64" s="22">
        <v>6</v>
      </c>
      <c r="J64" s="22">
        <v>6</v>
      </c>
      <c r="K64" s="22">
        <v>6</v>
      </c>
      <c r="L64" s="22">
        <v>6</v>
      </c>
      <c r="M64" s="22">
        <v>6</v>
      </c>
      <c r="N64" s="22">
        <v>6</v>
      </c>
      <c r="O64" s="23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</row>
    <row r="65" spans="1:28" ht="16.8" x14ac:dyDescent="0.3">
      <c r="A65" s="53"/>
      <c r="B65" s="53"/>
      <c r="C65" s="50" t="s">
        <v>140</v>
      </c>
      <c r="D65" s="50"/>
      <c r="E65" s="51" t="s">
        <v>91</v>
      </c>
      <c r="F65" s="51"/>
      <c r="G65" s="22">
        <v>7</v>
      </c>
      <c r="H65" s="22">
        <v>5</v>
      </c>
      <c r="I65" s="22">
        <v>5</v>
      </c>
      <c r="J65" s="22">
        <v>5</v>
      </c>
      <c r="K65" s="22">
        <v>5</v>
      </c>
      <c r="L65" s="22">
        <v>5</v>
      </c>
      <c r="M65" s="22">
        <v>5</v>
      </c>
      <c r="N65" s="22">
        <v>5</v>
      </c>
      <c r="O65" s="23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</row>
    <row r="66" spans="1:28" ht="16.8" x14ac:dyDescent="0.3">
      <c r="A66" s="53"/>
      <c r="B66" s="53"/>
      <c r="C66" s="64"/>
      <c r="D66" s="64"/>
      <c r="E66" s="51"/>
      <c r="F66" s="51"/>
      <c r="G66" s="22"/>
      <c r="H66" s="22"/>
      <c r="I66" s="22"/>
      <c r="J66" s="22"/>
      <c r="K66" s="22"/>
      <c r="L66" s="22"/>
      <c r="M66" s="22"/>
      <c r="N66" s="22"/>
      <c r="O66" s="25">
        <v>2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6.8" x14ac:dyDescent="0.3">
      <c r="A67" s="53"/>
      <c r="B67" s="53"/>
      <c r="C67" s="50" t="s">
        <v>141</v>
      </c>
      <c r="D67" s="50"/>
      <c r="E67" s="51" t="s">
        <v>55</v>
      </c>
      <c r="F67" s="51"/>
      <c r="G67" s="22">
        <v>5</v>
      </c>
      <c r="H67" s="22">
        <v>5</v>
      </c>
      <c r="I67" s="22">
        <v>5</v>
      </c>
      <c r="J67" s="22">
        <v>5</v>
      </c>
      <c r="K67" s="22">
        <v>5</v>
      </c>
      <c r="L67" s="22">
        <v>5</v>
      </c>
      <c r="M67" s="22">
        <v>5</v>
      </c>
      <c r="N67" s="22">
        <v>5</v>
      </c>
      <c r="O67" s="23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</row>
    <row r="68" spans="1:28" ht="16.8" x14ac:dyDescent="0.3">
      <c r="A68" s="53"/>
      <c r="B68" s="53"/>
      <c r="C68" s="50" t="s">
        <v>142</v>
      </c>
      <c r="D68" s="50"/>
      <c r="E68" s="51" t="s">
        <v>54</v>
      </c>
      <c r="F68" s="51"/>
      <c r="G68" s="22">
        <v>2</v>
      </c>
      <c r="H68" s="22">
        <v>2</v>
      </c>
      <c r="I68" s="22">
        <v>2</v>
      </c>
      <c r="J68" s="22">
        <v>2</v>
      </c>
      <c r="K68" s="22">
        <v>2</v>
      </c>
      <c r="L68" s="22">
        <v>2</v>
      </c>
      <c r="M68" s="22">
        <v>2</v>
      </c>
      <c r="N68" s="22">
        <v>2</v>
      </c>
      <c r="O68" s="23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</row>
    <row r="69" spans="1:28" ht="16.8" x14ac:dyDescent="0.3">
      <c r="A69" s="53"/>
      <c r="B69" s="53"/>
      <c r="C69" s="50" t="s">
        <v>143</v>
      </c>
      <c r="D69" s="50"/>
      <c r="E69" s="51" t="s">
        <v>55</v>
      </c>
      <c r="F69" s="51"/>
      <c r="G69" s="22">
        <v>4</v>
      </c>
      <c r="H69" s="22">
        <v>4</v>
      </c>
      <c r="I69" s="22">
        <v>4</v>
      </c>
      <c r="J69" s="22">
        <v>4</v>
      </c>
      <c r="K69" s="22">
        <v>4</v>
      </c>
      <c r="L69" s="22">
        <v>4</v>
      </c>
      <c r="M69" s="22">
        <v>4</v>
      </c>
      <c r="N69" s="22">
        <v>4</v>
      </c>
      <c r="O69" s="22">
        <v>4</v>
      </c>
      <c r="P69" s="22">
        <v>4</v>
      </c>
      <c r="Q69" s="22">
        <v>4</v>
      </c>
      <c r="R69" s="22">
        <v>4</v>
      </c>
      <c r="S69" s="22">
        <v>4</v>
      </c>
      <c r="T69" s="22">
        <v>4</v>
      </c>
      <c r="U69" s="22">
        <v>4</v>
      </c>
      <c r="V69" s="22">
        <v>4</v>
      </c>
      <c r="W69" s="22">
        <v>4</v>
      </c>
      <c r="X69" s="22">
        <v>4</v>
      </c>
      <c r="Y69" s="23">
        <v>0</v>
      </c>
      <c r="Z69" s="22">
        <v>0</v>
      </c>
      <c r="AA69" s="22">
        <v>0</v>
      </c>
      <c r="AB69" s="22">
        <v>0</v>
      </c>
    </row>
    <row r="70" spans="1:28" ht="16.8" x14ac:dyDescent="0.3">
      <c r="A70" s="53"/>
      <c r="B70" s="53"/>
      <c r="C70" s="64"/>
      <c r="D70" s="64"/>
      <c r="E70" s="51"/>
      <c r="F70" s="51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4">
        <v>1</v>
      </c>
      <c r="Z70" s="22"/>
      <c r="AA70" s="22"/>
      <c r="AB70" s="22"/>
    </row>
    <row r="71" spans="1:28" ht="18" x14ac:dyDescent="0.35">
      <c r="A71" s="53"/>
      <c r="B71" s="53"/>
      <c r="C71" s="35" t="s">
        <v>145</v>
      </c>
      <c r="D71" s="33"/>
      <c r="E71" s="27"/>
      <c r="F71" s="27" t="s">
        <v>91</v>
      </c>
      <c r="G71" s="22">
        <v>5</v>
      </c>
      <c r="H71" s="22">
        <v>5</v>
      </c>
      <c r="I71" s="22">
        <v>5</v>
      </c>
      <c r="J71" s="22">
        <v>5</v>
      </c>
      <c r="K71" s="22">
        <v>5</v>
      </c>
      <c r="L71" s="22">
        <v>5</v>
      </c>
      <c r="M71" s="22">
        <v>5</v>
      </c>
      <c r="N71" s="22">
        <v>5</v>
      </c>
      <c r="O71" s="22">
        <v>5</v>
      </c>
      <c r="P71" s="22">
        <v>5</v>
      </c>
      <c r="Q71" s="22">
        <v>5</v>
      </c>
      <c r="R71" s="22">
        <v>5</v>
      </c>
      <c r="S71" s="22">
        <v>5</v>
      </c>
      <c r="T71" s="23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</row>
    <row r="72" spans="1:28" ht="16.8" x14ac:dyDescent="0.3">
      <c r="A72" s="53"/>
      <c r="B72" s="53"/>
      <c r="C72" s="50" t="s">
        <v>144</v>
      </c>
      <c r="D72" s="50"/>
      <c r="E72" s="51" t="s">
        <v>54</v>
      </c>
      <c r="F72" s="51"/>
      <c r="G72" s="22">
        <v>5</v>
      </c>
      <c r="H72" s="22">
        <v>5</v>
      </c>
      <c r="I72" s="22">
        <v>5</v>
      </c>
      <c r="J72" s="22">
        <v>5</v>
      </c>
      <c r="K72" s="22">
        <v>5</v>
      </c>
      <c r="L72" s="22">
        <v>5</v>
      </c>
      <c r="M72" s="22">
        <v>5</v>
      </c>
      <c r="N72" s="22">
        <v>5</v>
      </c>
      <c r="O72" s="22">
        <v>5</v>
      </c>
      <c r="P72" s="22">
        <v>5</v>
      </c>
      <c r="Q72" s="22">
        <v>5</v>
      </c>
      <c r="R72" s="22">
        <v>5</v>
      </c>
      <c r="S72" s="22">
        <v>5</v>
      </c>
      <c r="T72" s="23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</row>
    <row r="73" spans="1:28" ht="16.8" x14ac:dyDescent="0.3">
      <c r="A73" s="53"/>
      <c r="B73" s="53" t="s">
        <v>39</v>
      </c>
      <c r="C73" s="50" t="s">
        <v>146</v>
      </c>
      <c r="D73" s="50"/>
      <c r="E73" s="51" t="s">
        <v>55</v>
      </c>
      <c r="F73" s="51"/>
      <c r="G73" s="22">
        <v>2</v>
      </c>
      <c r="H73" s="22">
        <v>2</v>
      </c>
      <c r="I73" s="22">
        <v>2</v>
      </c>
      <c r="J73" s="22">
        <v>2</v>
      </c>
      <c r="K73" s="22">
        <v>2</v>
      </c>
      <c r="L73" s="22">
        <v>2</v>
      </c>
      <c r="M73" s="22">
        <v>2</v>
      </c>
      <c r="N73" s="22">
        <v>2</v>
      </c>
      <c r="O73" s="22">
        <v>2</v>
      </c>
      <c r="P73" s="23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</row>
    <row r="74" spans="1:28" ht="16.8" x14ac:dyDescent="0.3">
      <c r="A74" s="53"/>
      <c r="B74" s="53"/>
      <c r="C74" s="50" t="s">
        <v>147</v>
      </c>
      <c r="D74" s="50"/>
      <c r="E74" s="51" t="s">
        <v>55</v>
      </c>
      <c r="F74" s="51"/>
      <c r="G74" s="22">
        <v>3</v>
      </c>
      <c r="H74" s="22">
        <v>2</v>
      </c>
      <c r="I74" s="22">
        <v>2</v>
      </c>
      <c r="J74" s="22">
        <v>2</v>
      </c>
      <c r="K74" s="22">
        <v>2</v>
      </c>
      <c r="L74" s="22">
        <v>2</v>
      </c>
      <c r="M74" s="22">
        <v>2</v>
      </c>
      <c r="N74" s="22">
        <v>2</v>
      </c>
      <c r="O74" s="22">
        <v>2</v>
      </c>
      <c r="P74" s="23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</row>
    <row r="75" spans="1:28" ht="16.8" x14ac:dyDescent="0.3">
      <c r="A75" s="53"/>
      <c r="B75" s="53"/>
      <c r="C75" s="51"/>
      <c r="D75" s="51"/>
      <c r="E75" s="51"/>
      <c r="F75" s="51"/>
      <c r="G75" s="22"/>
      <c r="H75" s="22"/>
      <c r="I75" s="22"/>
      <c r="J75" s="22"/>
      <c r="K75" s="22"/>
      <c r="L75" s="22"/>
      <c r="M75" s="22"/>
      <c r="N75" s="22"/>
      <c r="O75" s="22"/>
      <c r="P75" s="24">
        <v>1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10"/>
    </row>
    <row r="76" spans="1:28" ht="16.8" x14ac:dyDescent="0.3">
      <c r="A76" s="53"/>
      <c r="B76" s="53"/>
      <c r="C76" s="50" t="s">
        <v>148</v>
      </c>
      <c r="D76" s="50"/>
      <c r="E76" s="51" t="s">
        <v>54</v>
      </c>
      <c r="F76" s="51"/>
      <c r="G76" s="22">
        <v>2</v>
      </c>
      <c r="H76" s="22">
        <v>2</v>
      </c>
      <c r="I76" s="22">
        <v>2</v>
      </c>
      <c r="J76" s="22">
        <v>2</v>
      </c>
      <c r="K76" s="22">
        <v>2</v>
      </c>
      <c r="L76" s="22">
        <v>2</v>
      </c>
      <c r="M76" s="22">
        <v>2</v>
      </c>
      <c r="N76" s="22">
        <v>2</v>
      </c>
      <c r="O76" s="22">
        <v>2</v>
      </c>
      <c r="P76" s="23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</row>
    <row r="77" spans="1:28" ht="16.8" x14ac:dyDescent="0.3">
      <c r="A77" s="53"/>
      <c r="B77" s="53"/>
      <c r="C77" s="50" t="s">
        <v>135</v>
      </c>
      <c r="D77" s="50"/>
      <c r="E77" s="51" t="s">
        <v>91</v>
      </c>
      <c r="F77" s="51"/>
      <c r="G77" s="22">
        <v>2</v>
      </c>
      <c r="H77" s="22">
        <v>2</v>
      </c>
      <c r="I77" s="22">
        <v>2</v>
      </c>
      <c r="J77" s="22">
        <v>2</v>
      </c>
      <c r="K77" s="22">
        <v>2</v>
      </c>
      <c r="L77" s="22">
        <v>2</v>
      </c>
      <c r="M77" s="22">
        <v>2</v>
      </c>
      <c r="N77" s="22">
        <v>2</v>
      </c>
      <c r="O77" s="22">
        <v>2</v>
      </c>
      <c r="P77" s="23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</row>
    <row r="78" spans="1:28" ht="16.8" x14ac:dyDescent="0.3">
      <c r="A78" s="53"/>
      <c r="B78" s="53"/>
      <c r="C78" s="50" t="s">
        <v>149</v>
      </c>
      <c r="D78" s="50"/>
      <c r="E78" s="51" t="s">
        <v>91</v>
      </c>
      <c r="F78" s="51"/>
      <c r="G78" s="22">
        <v>4</v>
      </c>
      <c r="H78" s="22">
        <v>4</v>
      </c>
      <c r="I78" s="22">
        <v>4</v>
      </c>
      <c r="J78" s="22">
        <v>4</v>
      </c>
      <c r="K78" s="22">
        <v>4</v>
      </c>
      <c r="L78" s="22">
        <v>4</v>
      </c>
      <c r="M78" s="22">
        <v>4</v>
      </c>
      <c r="N78" s="22">
        <v>4</v>
      </c>
      <c r="O78" s="22">
        <v>4</v>
      </c>
      <c r="P78" s="22">
        <v>4</v>
      </c>
      <c r="Q78" s="22">
        <v>4</v>
      </c>
      <c r="R78" s="22">
        <v>4</v>
      </c>
      <c r="S78" s="22">
        <v>4</v>
      </c>
      <c r="T78" s="22">
        <v>4</v>
      </c>
      <c r="U78" s="22">
        <v>4</v>
      </c>
      <c r="V78" s="22">
        <v>4</v>
      </c>
      <c r="W78" s="22">
        <v>4</v>
      </c>
      <c r="X78" s="22">
        <v>4</v>
      </c>
      <c r="Y78" s="22">
        <v>4</v>
      </c>
      <c r="Z78" s="23">
        <v>0</v>
      </c>
      <c r="AA78" s="22">
        <v>0</v>
      </c>
      <c r="AB78" s="22">
        <v>0</v>
      </c>
    </row>
    <row r="79" spans="1:28" ht="16.8" x14ac:dyDescent="0.3">
      <c r="A79" s="53"/>
      <c r="B79" s="53"/>
      <c r="C79" s="29" t="s">
        <v>150</v>
      </c>
      <c r="D79" s="29"/>
      <c r="E79" s="27"/>
      <c r="F79" s="27" t="s">
        <v>55</v>
      </c>
      <c r="G79" s="22">
        <v>2</v>
      </c>
      <c r="H79" s="22">
        <v>2</v>
      </c>
      <c r="I79" s="22">
        <v>2</v>
      </c>
      <c r="J79" s="22">
        <v>2</v>
      </c>
      <c r="K79" s="22">
        <v>2</v>
      </c>
      <c r="L79" s="22">
        <v>2</v>
      </c>
      <c r="M79" s="22">
        <v>2</v>
      </c>
      <c r="N79" s="22">
        <v>2</v>
      </c>
      <c r="O79" s="22">
        <v>2</v>
      </c>
      <c r="P79" s="22">
        <v>2</v>
      </c>
      <c r="Q79" s="22">
        <v>2</v>
      </c>
      <c r="R79" s="22">
        <v>2</v>
      </c>
      <c r="S79" s="22">
        <v>2</v>
      </c>
      <c r="T79" s="22">
        <v>2</v>
      </c>
      <c r="U79" s="23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</row>
    <row r="80" spans="1:28" ht="16.8" x14ac:dyDescent="0.3">
      <c r="A80" s="53"/>
      <c r="B80" s="53"/>
      <c r="C80" s="50" t="s">
        <v>151</v>
      </c>
      <c r="D80" s="50"/>
      <c r="E80" s="51" t="s">
        <v>91</v>
      </c>
      <c r="F80" s="51"/>
      <c r="G80" s="22">
        <v>2</v>
      </c>
      <c r="H80" s="22">
        <v>2</v>
      </c>
      <c r="I80" s="22">
        <v>2</v>
      </c>
      <c r="J80" s="22">
        <v>2</v>
      </c>
      <c r="K80" s="22">
        <v>2</v>
      </c>
      <c r="L80" s="22">
        <v>2</v>
      </c>
      <c r="M80" s="22">
        <v>2</v>
      </c>
      <c r="N80" s="22">
        <v>2</v>
      </c>
      <c r="O80" s="22">
        <v>2</v>
      </c>
      <c r="P80" s="22">
        <v>2</v>
      </c>
      <c r="Q80" s="22">
        <v>2</v>
      </c>
      <c r="R80" s="22">
        <v>2</v>
      </c>
      <c r="S80" s="22">
        <v>2</v>
      </c>
      <c r="T80" s="22">
        <v>2</v>
      </c>
      <c r="U80" s="23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</row>
    <row r="81" spans="1:28" ht="16.8" x14ac:dyDescent="0.3">
      <c r="A81" s="53"/>
      <c r="B81" s="53" t="s">
        <v>38</v>
      </c>
      <c r="C81" s="50" t="s">
        <v>41</v>
      </c>
      <c r="D81" s="50"/>
      <c r="E81" s="51" t="s">
        <v>46</v>
      </c>
      <c r="F81" s="51"/>
      <c r="G81" s="22">
        <v>6</v>
      </c>
      <c r="H81" s="22">
        <v>6</v>
      </c>
      <c r="I81" s="22">
        <v>6</v>
      </c>
      <c r="J81" s="22">
        <v>6</v>
      </c>
      <c r="K81" s="22">
        <v>6</v>
      </c>
      <c r="L81" s="22">
        <v>6</v>
      </c>
      <c r="M81" s="22">
        <v>6</v>
      </c>
      <c r="N81" s="22">
        <v>6</v>
      </c>
      <c r="O81" s="22">
        <v>6</v>
      </c>
      <c r="P81" s="22">
        <v>6</v>
      </c>
      <c r="Q81" s="22">
        <v>6</v>
      </c>
      <c r="R81" s="22">
        <v>6</v>
      </c>
      <c r="S81" s="22">
        <v>6</v>
      </c>
      <c r="T81" s="22">
        <v>6</v>
      </c>
      <c r="U81" s="22">
        <v>6</v>
      </c>
      <c r="V81" s="22">
        <v>6</v>
      </c>
      <c r="W81" s="22">
        <v>6</v>
      </c>
      <c r="X81" s="22">
        <v>6</v>
      </c>
      <c r="Y81" s="22">
        <v>6</v>
      </c>
      <c r="Z81" s="23">
        <v>0</v>
      </c>
      <c r="AA81" s="22">
        <v>0</v>
      </c>
      <c r="AB81" s="22">
        <v>0</v>
      </c>
    </row>
    <row r="82" spans="1:28" ht="16.8" x14ac:dyDescent="0.3">
      <c r="A82" s="53"/>
      <c r="B82" s="53"/>
      <c r="C82" s="50" t="s">
        <v>42</v>
      </c>
      <c r="D82" s="50"/>
      <c r="E82" s="51" t="s">
        <v>46</v>
      </c>
      <c r="F82" s="51"/>
      <c r="G82" s="22">
        <v>6</v>
      </c>
      <c r="H82" s="22">
        <v>6</v>
      </c>
      <c r="I82" s="22">
        <v>6</v>
      </c>
      <c r="J82" s="22">
        <v>6</v>
      </c>
      <c r="K82" s="22">
        <v>6</v>
      </c>
      <c r="L82" s="22">
        <v>6</v>
      </c>
      <c r="M82" s="22">
        <v>6</v>
      </c>
      <c r="N82" s="22">
        <v>6</v>
      </c>
      <c r="O82" s="22">
        <v>6</v>
      </c>
      <c r="P82" s="22">
        <v>6</v>
      </c>
      <c r="Q82" s="22">
        <v>6</v>
      </c>
      <c r="R82" s="22">
        <v>6</v>
      </c>
      <c r="S82" s="22">
        <v>6</v>
      </c>
      <c r="T82" s="22">
        <v>6</v>
      </c>
      <c r="U82" s="22">
        <v>6</v>
      </c>
      <c r="V82" s="22">
        <v>6</v>
      </c>
      <c r="W82" s="22">
        <v>6</v>
      </c>
      <c r="X82" s="22">
        <v>6</v>
      </c>
      <c r="Y82" s="22">
        <v>6</v>
      </c>
      <c r="Z82" s="22">
        <v>6</v>
      </c>
      <c r="AA82" s="23">
        <v>0</v>
      </c>
      <c r="AB82" s="22">
        <v>0</v>
      </c>
    </row>
    <row r="83" spans="1:28" ht="16.8" x14ac:dyDescent="0.3">
      <c r="A83" s="53"/>
      <c r="B83" s="61" t="s">
        <v>12</v>
      </c>
      <c r="C83" s="61"/>
      <c r="D83" s="61"/>
      <c r="E83" s="54" t="s">
        <v>11</v>
      </c>
      <c r="F83" s="54"/>
      <c r="G83" s="51">
        <f>SUM(G14:G82)</f>
        <v>227</v>
      </c>
      <c r="H83" s="51"/>
      <c r="I83" s="22">
        <f>SUM(I14:I82)</f>
        <v>228</v>
      </c>
      <c r="J83" s="22">
        <f>SUM(J14:J82)</f>
        <v>211</v>
      </c>
      <c r="K83" s="22">
        <f>SUM(K14:K82)-K16</f>
        <v>209</v>
      </c>
      <c r="L83" s="22">
        <f>SUM(L14:L82)</f>
        <v>205</v>
      </c>
      <c r="M83" s="22">
        <f>SUM(M14:M82)</f>
        <v>199</v>
      </c>
      <c r="N83" s="22">
        <f>SUM(N14:N82)</f>
        <v>142</v>
      </c>
      <c r="O83" s="22">
        <f>SUM(O14:O82)-O27</f>
        <v>116</v>
      </c>
      <c r="P83" s="22">
        <f>SUM(P14:P82)</f>
        <v>107</v>
      </c>
      <c r="Q83" s="22">
        <f>SUM(Q14:Q82)</f>
        <v>106</v>
      </c>
      <c r="R83" s="22">
        <f>SUM(R14:R82)-R37</f>
        <v>106</v>
      </c>
      <c r="S83" s="22">
        <f>SUM(S14:S82)-S39</f>
        <v>72</v>
      </c>
      <c r="T83" s="22">
        <f t="shared" ref="T83:AA83" si="0">SUM(T14:T82)</f>
        <v>62</v>
      </c>
      <c r="U83" s="22">
        <f t="shared" si="0"/>
        <v>58</v>
      </c>
      <c r="V83" s="22">
        <f t="shared" si="0"/>
        <v>58</v>
      </c>
      <c r="W83" s="22">
        <f t="shared" si="0"/>
        <v>55</v>
      </c>
      <c r="X83" s="22">
        <f t="shared" si="0"/>
        <v>34</v>
      </c>
      <c r="Y83" s="22">
        <f t="shared" si="0"/>
        <v>17</v>
      </c>
      <c r="Z83" s="22">
        <f t="shared" si="0"/>
        <v>6</v>
      </c>
      <c r="AA83" s="22">
        <f t="shared" si="0"/>
        <v>0</v>
      </c>
      <c r="AB83" s="22">
        <f>SUM(AB14:AB82)-AB70</f>
        <v>0</v>
      </c>
    </row>
    <row r="84" spans="1:28" ht="16.8" x14ac:dyDescent="0.3">
      <c r="A84" s="53"/>
      <c r="B84" s="61"/>
      <c r="C84" s="61"/>
      <c r="D84" s="61"/>
      <c r="E84" s="54" t="s">
        <v>47</v>
      </c>
      <c r="F84" s="54"/>
      <c r="G84" s="51">
        <f>SUM(H14:H82)</f>
        <v>228</v>
      </c>
      <c r="H84" s="51"/>
      <c r="I84" s="22">
        <f>SUM(I14:I82)</f>
        <v>228</v>
      </c>
      <c r="J84" s="22">
        <f>SUM(J14:J82)+K16</f>
        <v>213</v>
      </c>
      <c r="K84" s="22">
        <f>SUM(K14:K82)-K16</f>
        <v>209</v>
      </c>
      <c r="L84" s="22">
        <f>SUM(L14:L82)-L18</f>
        <v>203</v>
      </c>
      <c r="M84" s="22">
        <f>SUM(M14:M82)</f>
        <v>199</v>
      </c>
      <c r="N84" s="22">
        <f>SUM(N14:N82)+O27</f>
        <v>147</v>
      </c>
      <c r="O84" s="22">
        <f>SUM(O14:O82)-O27</f>
        <v>116</v>
      </c>
      <c r="P84" s="22">
        <f>SUM(P14:P82)-M30</f>
        <v>105</v>
      </c>
      <c r="Q84" s="22">
        <f>SUM(Q14:Q82)+R37</f>
        <v>106</v>
      </c>
      <c r="R84" s="22">
        <f>SUM(R14:R82)-R37+S39</f>
        <v>106</v>
      </c>
      <c r="S84" s="22">
        <f>SUM(S14:S82)-S39</f>
        <v>72</v>
      </c>
      <c r="T84" s="22">
        <f>SUM(T14:T82)-T43</f>
        <v>62</v>
      </c>
      <c r="U84" s="22">
        <f>SUM(U14:U82)</f>
        <v>58</v>
      </c>
      <c r="V84" s="22">
        <f>SUM(V14:V82)-V49</f>
        <v>58</v>
      </c>
      <c r="W84" s="22">
        <f>SUM(W14:W82)</f>
        <v>55</v>
      </c>
      <c r="X84" s="22">
        <f>SUM(X14:X82)</f>
        <v>34</v>
      </c>
      <c r="Y84" s="22">
        <f>SUM(Y14:Y82)</f>
        <v>17</v>
      </c>
      <c r="Z84" s="22">
        <f>SUM(Z14:Z82)-Z58</f>
        <v>6</v>
      </c>
      <c r="AA84" s="22">
        <f>SUM(AA14:AA82)+AB70-AA66</f>
        <v>0</v>
      </c>
      <c r="AB84" s="22">
        <v>0</v>
      </c>
    </row>
    <row r="105" spans="3:4" x14ac:dyDescent="0.3">
      <c r="C105" s="63"/>
      <c r="D105" s="63"/>
    </row>
  </sheetData>
  <mergeCells count="146">
    <mergeCell ref="G83:H83"/>
    <mergeCell ref="G84:H84"/>
    <mergeCell ref="B16:D16"/>
    <mergeCell ref="E16:F16"/>
    <mergeCell ref="B18:D18"/>
    <mergeCell ref="E18:F18"/>
    <mergeCell ref="E58:F58"/>
    <mergeCell ref="C66:D66"/>
    <mergeCell ref="E66:F66"/>
    <mergeCell ref="C75:D75"/>
    <mergeCell ref="E75:F75"/>
    <mergeCell ref="C70:D70"/>
    <mergeCell ref="E70:F70"/>
    <mergeCell ref="E30:F30"/>
    <mergeCell ref="B28:B37"/>
    <mergeCell ref="C37:D37"/>
    <mergeCell ref="E37:F37"/>
    <mergeCell ref="C39:D39"/>
    <mergeCell ref="E39:F39"/>
    <mergeCell ref="C43:D43"/>
    <mergeCell ref="E43:F43"/>
    <mergeCell ref="C49:D49"/>
    <mergeCell ref="C62:D62"/>
    <mergeCell ref="C64:D64"/>
    <mergeCell ref="C105:D105"/>
    <mergeCell ref="C51:D51"/>
    <mergeCell ref="C52:D52"/>
    <mergeCell ref="C55:D55"/>
    <mergeCell ref="C56:D56"/>
    <mergeCell ref="C44:D44"/>
    <mergeCell ref="C41:D41"/>
    <mergeCell ref="C42:D42"/>
    <mergeCell ref="E50:F50"/>
    <mergeCell ref="E51:F51"/>
    <mergeCell ref="E52:F52"/>
    <mergeCell ref="E55:F55"/>
    <mergeCell ref="E42:F42"/>
    <mergeCell ref="E44:F44"/>
    <mergeCell ref="E45:F45"/>
    <mergeCell ref="E46:F46"/>
    <mergeCell ref="C58:D58"/>
    <mergeCell ref="C57:D57"/>
    <mergeCell ref="C59:D59"/>
    <mergeCell ref="C60:D60"/>
    <mergeCell ref="C50:D50"/>
    <mergeCell ref="E49:F49"/>
    <mergeCell ref="E77:F77"/>
    <mergeCell ref="E78:F78"/>
    <mergeCell ref="C30:D30"/>
    <mergeCell ref="C45:D45"/>
    <mergeCell ref="C46:D46"/>
    <mergeCell ref="C47:D47"/>
    <mergeCell ref="C48:D48"/>
    <mergeCell ref="E33:F33"/>
    <mergeCell ref="E48:F48"/>
    <mergeCell ref="C33:D33"/>
    <mergeCell ref="C34:D34"/>
    <mergeCell ref="C36:D36"/>
    <mergeCell ref="C38:D38"/>
    <mergeCell ref="C40:D40"/>
    <mergeCell ref="E32:F32"/>
    <mergeCell ref="E24:F24"/>
    <mergeCell ref="E26:F26"/>
    <mergeCell ref="C20:D20"/>
    <mergeCell ref="C21:D21"/>
    <mergeCell ref="C22:D22"/>
    <mergeCell ref="C23:D23"/>
    <mergeCell ref="C24:D24"/>
    <mergeCell ref="B38:B55"/>
    <mergeCell ref="B81:B82"/>
    <mergeCell ref="C77:D77"/>
    <mergeCell ref="C78:D78"/>
    <mergeCell ref="C80:D80"/>
    <mergeCell ref="C81:D81"/>
    <mergeCell ref="C82:D82"/>
    <mergeCell ref="C68:D68"/>
    <mergeCell ref="C69:D69"/>
    <mergeCell ref="C72:D72"/>
    <mergeCell ref="C73:D73"/>
    <mergeCell ref="B73:B80"/>
    <mergeCell ref="B64:B72"/>
    <mergeCell ref="B56:B63"/>
    <mergeCell ref="C74:D74"/>
    <mergeCell ref="C76:D76"/>
    <mergeCell ref="C61:D61"/>
    <mergeCell ref="C28:D28"/>
    <mergeCell ref="C29:D29"/>
    <mergeCell ref="C31:D31"/>
    <mergeCell ref="C32:D32"/>
    <mergeCell ref="E60:F60"/>
    <mergeCell ref="B11:C11"/>
    <mergeCell ref="E14:F14"/>
    <mergeCell ref="E15:F15"/>
    <mergeCell ref="E17:F17"/>
    <mergeCell ref="E19:F19"/>
    <mergeCell ref="E56:F56"/>
    <mergeCell ref="E57:F57"/>
    <mergeCell ref="E59:F59"/>
    <mergeCell ref="C26:D26"/>
    <mergeCell ref="C13:D13"/>
    <mergeCell ref="E13:F13"/>
    <mergeCell ref="B14:D14"/>
    <mergeCell ref="B15:D15"/>
    <mergeCell ref="B17:D17"/>
    <mergeCell ref="C19:D19"/>
    <mergeCell ref="E20:F20"/>
    <mergeCell ref="E21:F21"/>
    <mergeCell ref="E22:F22"/>
    <mergeCell ref="E23:F23"/>
    <mergeCell ref="A1:B1"/>
    <mergeCell ref="A2:B2"/>
    <mergeCell ref="A3:B3"/>
    <mergeCell ref="A4:B4"/>
    <mergeCell ref="B6:E6"/>
    <mergeCell ref="A14:A84"/>
    <mergeCell ref="E83:F83"/>
    <mergeCell ref="E84:F84"/>
    <mergeCell ref="C65:D65"/>
    <mergeCell ref="C67:D67"/>
    <mergeCell ref="E34:F34"/>
    <mergeCell ref="E36:F36"/>
    <mergeCell ref="E38:F38"/>
    <mergeCell ref="E40:F40"/>
    <mergeCell ref="E41:F41"/>
    <mergeCell ref="E28:F28"/>
    <mergeCell ref="E29:F29"/>
    <mergeCell ref="E31:F31"/>
    <mergeCell ref="E61:F61"/>
    <mergeCell ref="E47:F47"/>
    <mergeCell ref="B83:D84"/>
    <mergeCell ref="B19:B27"/>
    <mergeCell ref="C27:D27"/>
    <mergeCell ref="E27:F27"/>
    <mergeCell ref="E80:F80"/>
    <mergeCell ref="E81:F81"/>
    <mergeCell ref="E82:F82"/>
    <mergeCell ref="E69:F69"/>
    <mergeCell ref="E72:F72"/>
    <mergeCell ref="E73:F73"/>
    <mergeCell ref="E74:F74"/>
    <mergeCell ref="E76:F76"/>
    <mergeCell ref="E63:F63"/>
    <mergeCell ref="E64:F64"/>
    <mergeCell ref="E65:F65"/>
    <mergeCell ref="E67:F67"/>
    <mergeCell ref="E68:F68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zoomScale="70" zoomScaleNormal="70" workbookViewId="0">
      <selection activeCell="I29" sqref="I29"/>
    </sheetView>
  </sheetViews>
  <sheetFormatPr defaultRowHeight="14.4" x14ac:dyDescent="0.3"/>
  <cols>
    <col min="1" max="1" width="5.6640625" bestFit="1" customWidth="1"/>
    <col min="2" max="2" width="26.88671875" style="49" bestFit="1" customWidth="1"/>
    <col min="3" max="3" width="10.33203125" bestFit="1" customWidth="1"/>
    <col min="4" max="4" width="9.109375" bestFit="1" customWidth="1"/>
    <col min="5" max="5" width="10.33203125" bestFit="1" customWidth="1"/>
    <col min="6" max="6" width="9.109375" bestFit="1" customWidth="1"/>
    <col min="7" max="7" width="19.33203125" bestFit="1" customWidth="1"/>
    <col min="12" max="12" width="6.33203125" bestFit="1" customWidth="1"/>
    <col min="13" max="13" width="29.5546875" style="49" customWidth="1"/>
    <col min="14" max="14" width="11" bestFit="1" customWidth="1"/>
  </cols>
  <sheetData>
    <row r="1" spans="1:14" ht="16.8" x14ac:dyDescent="0.3">
      <c r="A1" s="67" t="s">
        <v>4</v>
      </c>
      <c r="B1" s="68"/>
      <c r="C1" s="68"/>
      <c r="D1" s="69"/>
      <c r="E1" s="67" t="s">
        <v>153</v>
      </c>
      <c r="F1" s="68"/>
      <c r="G1" s="69"/>
      <c r="H1" s="1"/>
      <c r="I1" s="1"/>
      <c r="J1" s="1"/>
      <c r="K1" s="1"/>
      <c r="L1" s="1"/>
      <c r="M1" s="48"/>
      <c r="N1" s="1"/>
    </row>
    <row r="2" spans="1:14" ht="16.8" x14ac:dyDescent="0.3">
      <c r="A2" s="36" t="s">
        <v>154</v>
      </c>
      <c r="B2" s="47" t="s">
        <v>155</v>
      </c>
      <c r="C2" s="36" t="s">
        <v>47</v>
      </c>
      <c r="D2" s="36" t="s">
        <v>11</v>
      </c>
      <c r="E2" s="36" t="s">
        <v>47</v>
      </c>
      <c r="F2" s="36" t="s">
        <v>11</v>
      </c>
      <c r="G2" s="36" t="s">
        <v>156</v>
      </c>
      <c r="H2" s="1"/>
      <c r="I2" s="1"/>
      <c r="J2" s="1"/>
      <c r="K2" s="1"/>
      <c r="L2" s="1"/>
      <c r="M2" s="48"/>
      <c r="N2" s="1"/>
    </row>
    <row r="3" spans="1:14" ht="17.399999999999999" x14ac:dyDescent="0.35">
      <c r="A3" s="37">
        <v>1</v>
      </c>
      <c r="B3" s="46" t="s">
        <v>97</v>
      </c>
      <c r="C3" s="38">
        <v>40.6</v>
      </c>
      <c r="D3" s="37">
        <v>36.6</v>
      </c>
      <c r="E3" s="39">
        <f>C3/C7*100</f>
        <v>25.959079283887469</v>
      </c>
      <c r="F3" s="39">
        <f>D3/D7*100</f>
        <v>25</v>
      </c>
      <c r="G3" s="40">
        <f t="shared" ref="G3:G6" si="0">(E3+F3)/2</f>
        <v>25.479539641943735</v>
      </c>
      <c r="H3" s="1"/>
      <c r="I3" s="1"/>
      <c r="J3" s="1"/>
      <c r="K3" s="1"/>
      <c r="L3" s="1"/>
      <c r="M3" s="48"/>
      <c r="N3" s="1"/>
    </row>
    <row r="4" spans="1:14" ht="15.6" customHeight="1" x14ac:dyDescent="0.35">
      <c r="A4" s="37">
        <v>2</v>
      </c>
      <c r="B4" s="46" t="s">
        <v>96</v>
      </c>
      <c r="C4" s="38">
        <v>35.6</v>
      </c>
      <c r="D4" s="37">
        <v>35.6</v>
      </c>
      <c r="E4" s="39">
        <f>C4/C7*100</f>
        <v>22.762148337595907</v>
      </c>
      <c r="F4" s="39">
        <f>D4/D7*100</f>
        <v>24.316939890710383</v>
      </c>
      <c r="G4" s="40">
        <f t="shared" si="0"/>
        <v>23.539544114153145</v>
      </c>
      <c r="H4" s="1"/>
      <c r="I4" s="1"/>
      <c r="J4" s="1"/>
      <c r="K4" s="1"/>
      <c r="L4" s="1"/>
      <c r="M4" s="48"/>
      <c r="N4" s="1"/>
    </row>
    <row r="5" spans="1:14" ht="17.399999999999999" x14ac:dyDescent="0.35">
      <c r="A5" s="37">
        <v>3</v>
      </c>
      <c r="B5" s="46" t="s">
        <v>98</v>
      </c>
      <c r="C5" s="38">
        <v>38.6</v>
      </c>
      <c r="D5" s="37">
        <v>37.6</v>
      </c>
      <c r="E5" s="39">
        <f>C5/C7*100</f>
        <v>24.680306905370845</v>
      </c>
      <c r="F5" s="39">
        <f>D5/D7*100</f>
        <v>25.683060109289617</v>
      </c>
      <c r="G5" s="40">
        <f t="shared" si="0"/>
        <v>25.181683507330231</v>
      </c>
      <c r="H5" s="1"/>
      <c r="I5" s="1"/>
      <c r="J5" s="1"/>
      <c r="K5" s="1"/>
      <c r="L5" s="1"/>
      <c r="M5" s="48"/>
      <c r="N5" s="1"/>
    </row>
    <row r="6" spans="1:14" ht="17.399999999999999" x14ac:dyDescent="0.35">
      <c r="A6" s="37">
        <v>4</v>
      </c>
      <c r="B6" s="48" t="s">
        <v>159</v>
      </c>
      <c r="C6" s="38">
        <v>41.6</v>
      </c>
      <c r="D6" s="37">
        <v>36.6</v>
      </c>
      <c r="E6" s="39">
        <f>C6/C7*100</f>
        <v>26.598465473145783</v>
      </c>
      <c r="F6" s="39">
        <f>D6/D7*100</f>
        <v>25</v>
      </c>
      <c r="G6" s="40">
        <f t="shared" si="0"/>
        <v>25.79923273657289</v>
      </c>
      <c r="H6" s="1"/>
      <c r="I6" s="1"/>
      <c r="J6" s="1"/>
      <c r="K6" s="1"/>
      <c r="L6" s="73" t="s">
        <v>158</v>
      </c>
      <c r="M6" s="75" t="s">
        <v>155</v>
      </c>
      <c r="N6" s="73" t="s">
        <v>153</v>
      </c>
    </row>
    <row r="7" spans="1:14" ht="16.8" x14ac:dyDescent="0.3">
      <c r="A7" s="70" t="s">
        <v>157</v>
      </c>
      <c r="B7" s="69"/>
      <c r="C7" s="41">
        <f>SUM(C3:C6)</f>
        <v>156.4</v>
      </c>
      <c r="D7" s="41">
        <f>SUM(D3:D6)</f>
        <v>146.4</v>
      </c>
      <c r="E7" s="42">
        <f>SUM(E3:E6)</f>
        <v>100</v>
      </c>
      <c r="F7" s="43">
        <f>SUM(F3:F6)</f>
        <v>100</v>
      </c>
      <c r="G7" s="43">
        <f>SUM(G3:G6)</f>
        <v>100</v>
      </c>
      <c r="H7" s="1"/>
      <c r="I7" s="1"/>
      <c r="J7" s="1"/>
      <c r="K7" s="1"/>
      <c r="L7" s="74"/>
      <c r="M7" s="76"/>
      <c r="N7" s="74"/>
    </row>
    <row r="8" spans="1:14" ht="16.8" x14ac:dyDescent="0.3">
      <c r="A8" s="1"/>
      <c r="B8" s="48"/>
      <c r="C8" s="1"/>
      <c r="D8" s="1"/>
      <c r="E8" s="1"/>
      <c r="F8" s="1"/>
      <c r="G8" s="1"/>
      <c r="H8" s="1"/>
      <c r="I8" s="1"/>
      <c r="J8" s="1"/>
      <c r="K8" s="1"/>
      <c r="L8" s="22">
        <v>1</v>
      </c>
      <c r="M8" s="46" t="s">
        <v>97</v>
      </c>
      <c r="N8" s="44">
        <v>26.42</v>
      </c>
    </row>
    <row r="9" spans="1:14" ht="16.8" x14ac:dyDescent="0.3">
      <c r="A9" s="1"/>
      <c r="B9" s="48"/>
      <c r="C9" s="1"/>
      <c r="D9" s="1"/>
      <c r="E9" s="1"/>
      <c r="F9" s="1"/>
      <c r="G9" s="1"/>
      <c r="H9" s="1"/>
      <c r="I9" s="1"/>
      <c r="J9" s="1"/>
      <c r="K9" s="1"/>
      <c r="L9" s="22">
        <v>2</v>
      </c>
      <c r="M9" s="46" t="s">
        <v>96</v>
      </c>
      <c r="N9" s="44">
        <v>26.79</v>
      </c>
    </row>
    <row r="10" spans="1:14" ht="16.8" x14ac:dyDescent="0.3">
      <c r="A10" s="1"/>
      <c r="B10" s="48"/>
      <c r="C10" s="1"/>
      <c r="D10" s="1"/>
      <c r="E10" s="1"/>
      <c r="F10" s="1"/>
      <c r="G10" s="1"/>
      <c r="H10" s="1"/>
      <c r="I10" s="1"/>
      <c r="J10" s="1"/>
      <c r="K10" s="1"/>
      <c r="L10" s="22">
        <v>3</v>
      </c>
      <c r="M10" s="46" t="s">
        <v>98</v>
      </c>
      <c r="N10" s="44">
        <v>26.67</v>
      </c>
    </row>
    <row r="11" spans="1:14" ht="16.8" x14ac:dyDescent="0.3">
      <c r="A11" s="67" t="s">
        <v>36</v>
      </c>
      <c r="B11" s="68"/>
      <c r="C11" s="68"/>
      <c r="D11" s="69"/>
      <c r="E11" s="67" t="s">
        <v>153</v>
      </c>
      <c r="F11" s="68"/>
      <c r="G11" s="69"/>
      <c r="H11" s="1"/>
      <c r="I11" s="1"/>
      <c r="J11" s="1"/>
      <c r="K11" s="1"/>
      <c r="L11" s="22">
        <v>4</v>
      </c>
      <c r="M11" s="48" t="s">
        <v>159</v>
      </c>
      <c r="N11" s="44">
        <v>20.12</v>
      </c>
    </row>
    <row r="12" spans="1:14" ht="21" customHeight="1" x14ac:dyDescent="0.3">
      <c r="A12" s="36" t="s">
        <v>154</v>
      </c>
      <c r="B12" s="47" t="s">
        <v>155</v>
      </c>
      <c r="C12" s="36" t="s">
        <v>47</v>
      </c>
      <c r="D12" s="36" t="s">
        <v>11</v>
      </c>
      <c r="E12" s="36" t="s">
        <v>47</v>
      </c>
      <c r="F12" s="36" t="s">
        <v>11</v>
      </c>
      <c r="G12" s="36" t="s">
        <v>156</v>
      </c>
      <c r="H12" s="1"/>
      <c r="I12" s="1"/>
      <c r="J12" s="1"/>
      <c r="K12" s="1"/>
      <c r="L12" s="71" t="s">
        <v>157</v>
      </c>
      <c r="M12" s="72"/>
      <c r="N12" s="45">
        <f>SUM(N8:N11)</f>
        <v>100</v>
      </c>
    </row>
    <row r="13" spans="1:14" ht="17.399999999999999" x14ac:dyDescent="0.35">
      <c r="A13" s="37">
        <v>1</v>
      </c>
      <c r="B13" s="46" t="s">
        <v>97</v>
      </c>
      <c r="C13" s="38">
        <v>30.4</v>
      </c>
      <c r="D13" s="38">
        <v>28.4</v>
      </c>
      <c r="E13" s="39">
        <f>C13/C17*100</f>
        <v>24.796084828711258</v>
      </c>
      <c r="F13" s="39">
        <f>D13/D17*100</f>
        <v>23.745819397993312</v>
      </c>
      <c r="G13" s="40">
        <f t="shared" ref="G13:G16" si="1">(E13+F13)/2</f>
        <v>24.270952113352287</v>
      </c>
      <c r="H13" s="1"/>
      <c r="I13" s="1"/>
      <c r="J13" s="1"/>
      <c r="K13" s="1"/>
    </row>
    <row r="14" spans="1:14" ht="20.399999999999999" customHeight="1" x14ac:dyDescent="0.35">
      <c r="A14" s="37">
        <v>2</v>
      </c>
      <c r="B14" s="46" t="s">
        <v>96</v>
      </c>
      <c r="C14" s="38">
        <v>29.4</v>
      </c>
      <c r="D14" s="38">
        <v>27.4</v>
      </c>
      <c r="E14" s="39">
        <f>C14/C17*100</f>
        <v>23.980424143556281</v>
      </c>
      <c r="F14" s="39">
        <f>D14/D17*100</f>
        <v>22.909698996655518</v>
      </c>
      <c r="G14" s="40">
        <f t="shared" si="1"/>
        <v>23.445061570105899</v>
      </c>
      <c r="H14" s="1"/>
      <c r="I14" s="1"/>
      <c r="J14" s="1"/>
      <c r="K14" s="1"/>
    </row>
    <row r="15" spans="1:14" ht="17.399999999999999" x14ac:dyDescent="0.35">
      <c r="A15" s="37">
        <v>3</v>
      </c>
      <c r="B15" s="46" t="s">
        <v>98</v>
      </c>
      <c r="C15" s="38">
        <v>30.4</v>
      </c>
      <c r="D15" s="38">
        <v>31.4</v>
      </c>
      <c r="E15" s="39">
        <f>C15/C17*100</f>
        <v>24.796084828711258</v>
      </c>
      <c r="F15" s="39">
        <f>D15/D17*100</f>
        <v>26.254180602006688</v>
      </c>
      <c r="G15" s="40">
        <f t="shared" si="1"/>
        <v>25.525132715358971</v>
      </c>
      <c r="H15" s="1"/>
      <c r="I15" s="1"/>
      <c r="J15" s="1"/>
      <c r="K15" s="1"/>
    </row>
    <row r="16" spans="1:14" ht="17.399999999999999" x14ac:dyDescent="0.35">
      <c r="A16" s="37">
        <v>4</v>
      </c>
      <c r="B16" s="48" t="s">
        <v>159</v>
      </c>
      <c r="C16" s="38">
        <v>32.4</v>
      </c>
      <c r="D16" s="38">
        <v>32.4</v>
      </c>
      <c r="E16" s="39">
        <f>C16/C17*100</f>
        <v>26.42740619902121</v>
      </c>
      <c r="F16" s="39">
        <f>D16/D17*100</f>
        <v>27.090301003344479</v>
      </c>
      <c r="G16" s="40">
        <f t="shared" si="1"/>
        <v>26.758853601182842</v>
      </c>
      <c r="H16" s="1"/>
      <c r="I16" s="1"/>
      <c r="J16" s="1"/>
      <c r="K16" s="1"/>
    </row>
    <row r="17" spans="1:14" ht="16.8" x14ac:dyDescent="0.3">
      <c r="A17" s="70" t="s">
        <v>157</v>
      </c>
      <c r="B17" s="69"/>
      <c r="C17" s="41">
        <f>SUM(C13:C16)</f>
        <v>122.6</v>
      </c>
      <c r="D17" s="41">
        <f>SUM(D13:D16)</f>
        <v>119.6</v>
      </c>
      <c r="E17" s="42">
        <f>SUM(E13:E16)</f>
        <v>100</v>
      </c>
      <c r="F17" s="43">
        <f>SUM(F13:F16)</f>
        <v>100</v>
      </c>
      <c r="G17" s="43">
        <f>SUM(G13:G16)</f>
        <v>100</v>
      </c>
      <c r="H17" s="1"/>
      <c r="I17" s="1"/>
      <c r="J17" s="1"/>
      <c r="K17" s="1"/>
      <c r="L17" s="1"/>
      <c r="M17" s="48"/>
      <c r="N17" s="1"/>
    </row>
  </sheetData>
  <mergeCells count="10">
    <mergeCell ref="N6:N7"/>
    <mergeCell ref="A11:D11"/>
    <mergeCell ref="E11:G11"/>
    <mergeCell ref="A1:D1"/>
    <mergeCell ref="E1:G1"/>
    <mergeCell ref="A7:B7"/>
    <mergeCell ref="L12:M12"/>
    <mergeCell ref="A17:B17"/>
    <mergeCell ref="L6:L7"/>
    <mergeCell ref="M6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trung</cp:lastModifiedBy>
  <dcterms:created xsi:type="dcterms:W3CDTF">2021-04-23T08:05:10Z</dcterms:created>
  <dcterms:modified xsi:type="dcterms:W3CDTF">2025-12-16T08:28:15Z</dcterms:modified>
</cp:coreProperties>
</file>