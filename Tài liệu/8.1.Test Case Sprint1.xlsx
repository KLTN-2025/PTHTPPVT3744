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 defaultThemeVersion="124226"/>
  <xr:revisionPtr revIDLastSave="0" documentId="13_ncr:1_{A4513783-C266-4A40-B544-9EEDE203776A}" xr6:coauthVersionLast="45" xr6:coauthVersionMax="45" xr10:uidLastSave="{00000000-0000-0000-0000-000000000000}"/>
  <bookViews>
    <workbookView xWindow="-108" yWindow="-108" windowWidth="23256" windowHeight="12456" tabRatio="810" firstSheet="5" activeTab="7" xr2:uid="{00000000-000D-0000-FFFF-FFFF00000000}"/>
  </bookViews>
  <sheets>
    <sheet name="Trường hợp kiểm thử" sheetId="1" r:id="rId1"/>
    <sheet name="Đăng nhập" sheetId="19" r:id="rId2"/>
    <sheet name="Đăng ký" sheetId="21" r:id="rId3"/>
    <sheet name="Đăng xuất" sheetId="22" r:id="rId4"/>
    <sheet name="Quản lý doanh thu" sheetId="23" r:id="rId5"/>
    <sheet name="Quản lý sản phẩm" sheetId="24" r:id="rId6"/>
    <sheet name="Quản lý khách hàng" sheetId="25" r:id="rId7"/>
    <sheet name=" Quản lý nhân viên" sheetId="26" r:id="rId8"/>
    <sheet name="Báo cáo kiểm tra" sheetId="10" state="hidden" r:id="rId9"/>
  </sheets>
  <externalReferences>
    <externalReference r:id="rId10"/>
  </externalReferenc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1" i="10" l="1"/>
  <c r="D21" i="10"/>
  <c r="K21" i="10"/>
  <c r="L21" i="10"/>
  <c r="P18" i="10"/>
  <c r="O19" i="10"/>
  <c r="P20" i="10"/>
  <c r="N18" i="10"/>
  <c r="N19" i="10"/>
  <c r="N20" i="10"/>
  <c r="M14" i="10"/>
  <c r="M12" i="10"/>
  <c r="M16" i="10"/>
  <c r="M17" i="10"/>
  <c r="M18" i="10"/>
  <c r="M19" i="10"/>
  <c r="M20" i="10"/>
  <c r="J19" i="10"/>
  <c r="J17" i="10"/>
  <c r="I20" i="10"/>
  <c r="I18" i="10"/>
  <c r="H20" i="10"/>
  <c r="H18" i="10"/>
  <c r="G20" i="10"/>
  <c r="G18" i="10"/>
  <c r="F19" i="10"/>
  <c r="P19" i="10" s="1"/>
  <c r="E20" i="10"/>
  <c r="O20" i="10" s="1"/>
  <c r="E18" i="10"/>
  <c r="O18" i="10" s="1"/>
  <c r="H17" i="10" l="1"/>
  <c r="F17" i="10"/>
  <c r="P17" i="10" s="1"/>
  <c r="N17" i="10"/>
  <c r="I17" i="10"/>
  <c r="G17" i="10"/>
  <c r="E17" i="10"/>
  <c r="O17" i="10" l="1"/>
  <c r="M10" i="10"/>
  <c r="M21" i="10" s="1"/>
  <c r="N14" i="10" l="1"/>
  <c r="J12" i="10"/>
  <c r="I12" i="10"/>
  <c r="H12" i="10"/>
  <c r="G12" i="10"/>
  <c r="F12" i="10"/>
  <c r="J10" i="10"/>
  <c r="I10" i="10"/>
  <c r="H10" i="10"/>
  <c r="G10" i="10"/>
  <c r="F10" i="10"/>
  <c r="J14" i="10"/>
  <c r="H14" i="10"/>
  <c r="F14" i="10"/>
  <c r="P14" i="10" s="1"/>
  <c r="I14" i="10"/>
  <c r="G14" i="10"/>
  <c r="E14" i="10"/>
  <c r="E21" i="10" s="1"/>
  <c r="C23" i="10" s="1"/>
  <c r="F21" i="10" l="1"/>
  <c r="D23" i="10" s="1"/>
  <c r="J21" i="10"/>
  <c r="G21" i="10"/>
  <c r="H21" i="10"/>
  <c r="I21" i="10"/>
  <c r="O14" i="10"/>
  <c r="P12" i="10"/>
  <c r="P10" i="10"/>
  <c r="O10" i="10"/>
  <c r="N12" i="10"/>
  <c r="N10" i="10"/>
  <c r="O12" i="10"/>
  <c r="P21" i="10" l="1"/>
  <c r="N21" i="10"/>
  <c r="O21" i="10"/>
  <c r="D24" i="10"/>
  <c r="C24" i="10"/>
</calcChain>
</file>

<file path=xl/sharedStrings.xml><?xml version="1.0" encoding="utf-8"?>
<sst xmlns="http://schemas.openxmlformats.org/spreadsheetml/2006/main" count="1456" uniqueCount="536">
  <si>
    <t>Project Name</t>
  </si>
  <si>
    <t>Sheet Name</t>
  </si>
  <si>
    <t>Passed</t>
  </si>
  <si>
    <t>Round 1</t>
  </si>
  <si>
    <t>Round 2</t>
  </si>
  <si>
    <t>Module Code</t>
  </si>
  <si>
    <t>Test Case ID</t>
  </si>
  <si>
    <t>Creator</t>
  </si>
  <si>
    <t>Sub total</t>
  </si>
  <si>
    <t>%</t>
  </si>
  <si>
    <t>Chức năng</t>
  </si>
  <si>
    <t>STT</t>
  </si>
  <si>
    <t>Mô tả</t>
  </si>
  <si>
    <t>Tên dự án</t>
  </si>
  <si>
    <t>Tên hiển thị</t>
  </si>
  <si>
    <t>Vòng 1</t>
  </si>
  <si>
    <t>Vòng 2</t>
  </si>
  <si>
    <t>Phạm Nguyễn Đình huy</t>
  </si>
  <si>
    <t>Người đánh giá/phê duyệt</t>
  </si>
  <si>
    <t>Cả nhóm</t>
  </si>
  <si>
    <t>Ngày triển khai</t>
  </si>
  <si>
    <t>Ghi chú</t>
  </si>
  <si>
    <t>Tính năng đang chờ xử lý :</t>
  </si>
  <si>
    <t>Hoàn thành</t>
  </si>
  <si>
    <t>Lỗi</t>
  </si>
  <si>
    <t>Bị chặn</t>
  </si>
  <si>
    <t>Số trường hợp thử nghiệm</t>
  </si>
  <si>
    <t>% Thành công</t>
  </si>
  <si>
    <t>Báo cáo thử nghiệm</t>
  </si>
  <si>
    <t>Vòng2</t>
  </si>
  <si>
    <t>Kiểm tra phủ sóng</t>
  </si>
  <si>
    <t>Kiểm tra thành công phủ sống</t>
  </si>
  <si>
    <t>Chưa Kiểm tra</t>
  </si>
  <si>
    <t>Chưa kiểm tra</t>
  </si>
  <si>
    <t>Kết quả</t>
  </si>
  <si>
    <t>Chú thích</t>
  </si>
  <si>
    <t>Trạng thái</t>
  </si>
  <si>
    <t>Ngày kiểm tra</t>
  </si>
  <si>
    <t>Người kiểm tra</t>
  </si>
  <si>
    <t>Đăng nhập</t>
  </si>
  <si>
    <t>Quy trình</t>
  </si>
  <si>
    <t>Kết quả mong đợi</t>
  </si>
  <si>
    <t>Kết quả thực tế</t>
  </si>
  <si>
    <t>Tổng lần kiểm tra</t>
  </si>
  <si>
    <t xml:space="preserve">% Coverage 
</t>
  </si>
  <si>
    <t>Website bán thời trang</t>
  </si>
  <si>
    <t>GUI-DK01</t>
  </si>
  <si>
    <t>GUI-DK02</t>
  </si>
  <si>
    <t>GUI-DK03</t>
  </si>
  <si>
    <t>Quản lý sản phẩm</t>
  </si>
  <si>
    <t>Quản lý mã khuyến mãi</t>
  </si>
  <si>
    <t>Quản lý tài khoản người dùng</t>
  </si>
  <si>
    <t>Quản lý bài viết</t>
  </si>
  <si>
    <t>Quản lý bình luận</t>
  </si>
  <si>
    <t>Tìm kiếm</t>
  </si>
  <si>
    <t>Quản lý thống kê</t>
  </si>
  <si>
    <t>Quản lý hóa đơn</t>
  </si>
  <si>
    <t>Quản lý nhãn hiệu</t>
  </si>
  <si>
    <t>Quản lý danh mục</t>
  </si>
  <si>
    <t>TEST CASE SYSTEM SPRINT 1</t>
  </si>
  <si>
    <t>GUI-DK04</t>
  </si>
  <si>
    <t>Đăng ký</t>
  </si>
  <si>
    <t>GUI-DK05</t>
  </si>
  <si>
    <t>Đăng Nhập</t>
  </si>
  <si>
    <t xml:space="preserve">Vào trang  chính
</t>
  </si>
  <si>
    <t>GUI_SHOW Đăng Nhập</t>
  </si>
  <si>
    <t>FUNCTION_SHOW Đăng nhập</t>
  </si>
  <si>
    <t>Quản lý doanh thu</t>
  </si>
  <si>
    <t>Quản lý khách hàng</t>
  </si>
  <si>
    <t>Đăng xuất</t>
  </si>
  <si>
    <t>Quản lý sản phẩm.</t>
  </si>
  <si>
    <r>
      <rPr>
        <sz val="7"/>
        <color theme="1"/>
        <rFont val="Times New Roman"/>
        <family val="1"/>
      </rPr>
      <t xml:space="preserve"> </t>
    </r>
    <r>
      <rPr>
        <sz val="13"/>
        <color theme="1"/>
        <rFont val="Times New Roman"/>
        <family val="1"/>
      </rPr>
      <t>Quản lý nhân viên</t>
    </r>
  </si>
  <si>
    <t>Thái</t>
  </si>
  <si>
    <t>Nguyên</t>
  </si>
  <si>
    <t>Textbox Tên đăng nhập hiển thị</t>
  </si>
  <si>
    <t>Textbox Mật khẩu hiển thị</t>
  </si>
  <si>
    <t>Checkbox 'Ghi nhớ đăng nhập' hoạt động</t>
  </si>
  <si>
    <t>Button 'Đăng nhập' hiển thị</t>
  </si>
  <si>
    <t>Button 'Thoát' hiển thị</t>
  </si>
  <si>
    <t>Kiểm tra hiển thị textbox Tên đăng nhập</t>
  </si>
  <si>
    <t>Kiểm tra hiển thị textbox Mật khẩu</t>
  </si>
  <si>
    <t>Click chọn checkbox 'Ghi nhớ đăng nhập'</t>
  </si>
  <si>
    <t>Kiểm tra button 'Đăng nhập' hiển thị</t>
  </si>
  <si>
    <t>Kiểm tra button 'Thoát' hiển thị</t>
  </si>
  <si>
    <t>Textbox hiển thị đúng</t>
  </si>
  <si>
    <t>Textbox hiển thị đúng và che ký tự mật khẩu</t>
  </si>
  <si>
    <t>Checkbox được chọn và lưu trạng thái</t>
  </si>
  <si>
    <t>Button hiển thị đúng</t>
  </si>
  <si>
    <t>FUNC-DN01</t>
  </si>
  <si>
    <t>FUNC-DN02</t>
  </si>
  <si>
    <t>FUNC-DN03</t>
  </si>
  <si>
    <t>FUNC-DN04</t>
  </si>
  <si>
    <t>FUNC-DN05</t>
  </si>
  <si>
    <t>FUNC-DN06</t>
  </si>
  <si>
    <t>FUNC-DN07</t>
  </si>
  <si>
    <t>Đăng nhập thành công với tài khoản hợp lệ</t>
  </si>
  <si>
    <t>Đăng nhập thất bại với sai tên đăng nhập</t>
  </si>
  <si>
    <t>Đăng nhập thất bại với sai mật khẩu</t>
  </si>
  <si>
    <t>Đăng nhập thất bại với cả tên đăng nhập và mật khẩu sai</t>
  </si>
  <si>
    <t>Đăng nhập với 'Ghi nhớ đăng nhập' được chọn</t>
  </si>
  <si>
    <t>Đăng nhập bằng Facebook</t>
  </si>
  <si>
    <t>Đăng nhập bằng Google</t>
  </si>
  <si>
    <t>Nhập Username: admin, Password: 123456 → Click Đăng nhập</t>
  </si>
  <si>
    <t>Nhập Username: sai, Password: 123456 → Click Đăng nhập</t>
  </si>
  <si>
    <t>Nhập Username: admin, Password: sai → Click Đăng nhập</t>
  </si>
  <si>
    <t>Nhập Username: sai, Password: sai → Click Đăng nhập</t>
  </si>
  <si>
    <t>Nhập đúng tài khoản, tick 'Ghi nhớ đăng nhập' → Click Đăng nhập</t>
  </si>
  <si>
    <t>Click button 'Facebook'</t>
  </si>
  <si>
    <t>Click button 'Google'</t>
  </si>
  <si>
    <t>Đăng nhập thành công, chuyển sang trang chính</t>
  </si>
  <si>
    <t>Hiển thị thông báo 'Sai tên đăng nhập hoặc mật khẩu'</t>
  </si>
  <si>
    <t>Hệ thống tự động đăng nhập lần sau</t>
  </si>
  <si>
    <t>Hiển thị popup đăng nhập Facebook</t>
  </si>
  <si>
    <t>Hiển thị popup đăng nhập Google</t>
  </si>
  <si>
    <t>Hiển thị thông báo 'Tên đăng nhập hoặc mật khẩu không đúng!'</t>
  </si>
  <si>
    <t>Thông báo "Tên đăng nhập hoặc mật khẩu không đúng!".</t>
  </si>
  <si>
    <t>Tên đăng nhập hoặc mật khẩu không đúng!</t>
  </si>
  <si>
    <t>Fail</t>
  </si>
  <si>
    <t>Hiện thị thông báo lỗi</t>
  </si>
  <si>
    <t>XÂY DỰNG WEBSITE BÁN VẬT TƯ Y TẾ TÍCH HỢP THANH TOÁN VNPAY</t>
  </si>
  <si>
    <t>Đăng Ký</t>
  </si>
  <si>
    <t>Quản lý nhân viên</t>
  </si>
  <si>
    <t>GUI_SHOW Quản lý khách hàng</t>
  </si>
  <si>
    <t>GUI-CUS-01</t>
  </si>
  <si>
    <t>GUI-CUS-02</t>
  </si>
  <si>
    <t>GUI-CUS-03</t>
  </si>
  <si>
    <t>GUI-CUS-04</t>
  </si>
  <si>
    <t>GUI-CUS-05</t>
  </si>
  <si>
    <t>Hiển thị tiêu đề trang</t>
  </si>
  <si>
    <t>Hiển thị thanh tìm kiếm</t>
  </si>
  <si>
    <t>Hiển thị nút thêm mới khách hàng</t>
  </si>
  <si>
    <t>Hiển thị bảng danh sách khách hàng</t>
  </si>
  <si>
    <t>Bảng danh sách có cột: STT, Tên KH, Loại KH, SĐT, Email, Địa chỉ, Chức năng</t>
  </si>
  <si>
    <t>Hiển thị nút chức năng trong bảng</t>
  </si>
  <si>
    <t>GUI-CUS-06</t>
  </si>
  <si>
    <t>Hiển thị phân trang</t>
  </si>
  <si>
    <t>Khi danh sách khách hàng &gt; 10 bản ghi</t>
  </si>
  <si>
    <t>Thanh phân trang xuất hiện dưới bảng (các nút 1, 2, …, Tiếp theo)</t>
  </si>
  <si>
    <t>GUI-CUS-07</t>
  </si>
  <si>
    <t>Hiển thị thông tin khách hàng</t>
  </si>
  <si>
    <t>Có dữ liệu trong hệ thống</t>
  </si>
  <si>
    <t>Bảng hiển thị danh sách khách hàng đầy đủ thông tin</t>
  </si>
  <si>
    <t>Nhân</t>
  </si>
  <si>
    <t>FUNCTION_SHOW Quản lý khách hàng</t>
  </si>
  <si>
    <t>FUNC-CUS-01</t>
  </si>
  <si>
    <t>Thêm mới khách hàng</t>
  </si>
  <si>
    <t>Hệ thống lưu và hiển thị khách hàng trong danh sách</t>
  </si>
  <si>
    <t>FUNC-CUS-02</t>
  </si>
  <si>
    <t>Thêm khách hàng thiếu thông tin bắt buộc</t>
  </si>
  <si>
    <t>Hiển thị thông báo lỗi “Thông tin bắt buộc”</t>
  </si>
  <si>
    <t>FUNC-CUS-03</t>
  </si>
  <si>
    <t>Tìm kiếm khách hàng theo tên</t>
  </si>
  <si>
    <t>Danh sách hiển thị khách hàng có tên chứa từ khóa</t>
  </si>
  <si>
    <t>FUNC-CUS-04</t>
  </si>
  <si>
    <t>Tìm kiếm khách hàng không tồn tại</t>
  </si>
  <si>
    <t>Hiển thị thông báo “Không tìm thấy khách hàng”</t>
  </si>
  <si>
    <t>FUNC-CUS-05</t>
  </si>
  <si>
    <t>Sửa thông tin khách hàng</t>
  </si>
  <si>
    <t>Hệ thống cập nhật thông tin và hiển thị dữ liệu mới</t>
  </si>
  <si>
    <t>FUNC-CUS-06</t>
  </si>
  <si>
    <t>Xóa khách hàng</t>
  </si>
  <si>
    <t>Hệ thống xóa và không còn hiển thị khách hàng đó</t>
  </si>
  <si>
    <t>FUNC-CUS-07</t>
  </si>
  <si>
    <t>Phân trang danh sách</t>
  </si>
  <si>
    <t>Nếu số lượng khách hàng &gt; 10 → Bấm sang trang 2</t>
  </si>
  <si>
    <t>Danh sách chuyển sang trang kế tiếp, dữ liệu đúng</t>
  </si>
  <si>
    <t>FUNC-CUS-08</t>
  </si>
  <si>
    <t>Xem chi tiết khách hàng (nếu có popup/page)</t>
  </si>
  <si>
    <t>Bấm vào tên khách hàng</t>
  </si>
  <si>
    <t>Hệ thống mở popup/trang chi tiết với đầy đủ thông tin</t>
  </si>
  <si>
    <t>Failed</t>
  </si>
  <si>
    <t xml:space="preserve">Không hiện thị gì </t>
  </si>
  <si>
    <t>Hành động</t>
  </si>
  <si>
    <t>GUI_SHOW Quản lý doanh thu</t>
  </si>
  <si>
    <t>GUI-REV-01</t>
  </si>
  <si>
    <t>Mở màn hình Báo cáo tài chính</t>
  </si>
  <si>
    <t>GUI-REV-02</t>
  </si>
  <si>
    <t>Hiển thị bộ lọc Tháng – Năm</t>
  </si>
  <si>
    <t>Kiểm tra khu vực chọn tháng, năm</t>
  </si>
  <si>
    <t>Có 2 combobox: Tháng, Năm với giá trị đầy đủ</t>
  </si>
  <si>
    <t>GUI-REV-03</t>
  </si>
  <si>
    <t>Hiển thị nút chức năng</t>
  </si>
  <si>
    <t>Quan sát khu vực thao tác</t>
  </si>
  <si>
    <t>GUI-REV-04</t>
  </si>
  <si>
    <t>Hiển thị kết quả tổng quan</t>
  </si>
  <si>
    <t>Quan sát phần "Kết quả tháng"</t>
  </si>
  <si>
    <t>GUI-REV-05</t>
  </si>
  <si>
    <t>Hiển thị biểu đồ tài chính</t>
  </si>
  <si>
    <t>Kiểm tra khu vực biểu đồ</t>
  </si>
  <si>
    <t>Biểu đồ có trục X, Y hiển thị, các nhãn: Tổng thu, Tổng chi, Doanh thu</t>
  </si>
  <si>
    <t>GUI-REV-06</t>
  </si>
  <si>
    <t>Hiển thị bảng thống kê chi tiết</t>
  </si>
  <si>
    <t>Quan sát cuối trang</t>
  </si>
  <si>
    <t>GUI-REV-07</t>
  </si>
  <si>
    <t>Danh mục hoạt động trong thống kê</t>
  </si>
  <si>
    <t>Kiểm tra cột Hoạt động</t>
  </si>
  <si>
    <t>Có các dòng: Bán hàng, Nhận từ NCC, Nhập hàng, Trả khách hàng, Hủy hàng</t>
  </si>
  <si>
    <t>GUI-REV-08</t>
  </si>
  <si>
    <t>Định dạng tiền tệ</t>
  </si>
  <si>
    <t>Quan sát cột Trị giá</t>
  </si>
  <si>
    <t>Giá trị hiển thị theo định dạng VND (vd: 0 VND, 10.000 VND)</t>
  </si>
  <si>
    <t>GUI-REV-09</t>
  </si>
  <si>
    <t>Màu sắc hiển thị</t>
  </si>
  <si>
    <t>Kiểm tra ô tổng quan</t>
  </si>
  <si>
    <t>Tổng thu màu xanh lá, Tổng chi màu đỏ, Doanh thu màu xanh dương</t>
  </si>
  <si>
    <t>GUI-REV-10</t>
  </si>
  <si>
    <t>Responsive</t>
  </si>
  <si>
    <t>Thu nhỏ/mở rộng trình duyệt</t>
  </si>
  <si>
    <t>Giao diện co giãn, không vỡ layout, các ô hiển thị cân đối</t>
  </si>
  <si>
    <t>FUNCTION_SHOW Quản lý doanh thu</t>
  </si>
  <si>
    <t>FUNC-REV-01</t>
  </si>
  <si>
    <t>Hệ thống hiển thị dữ liệu báo cáo đúng theo tháng/năm đã chọn</t>
  </si>
  <si>
    <t>FUNC-REV-02</t>
  </si>
  <si>
    <t>Bộ lọc Tháng/Năm trống</t>
  </si>
  <si>
    <t>Hệ thống báo lỗi hoặc mặc định lấy tháng/năm hiện tại</t>
  </si>
  <si>
    <t>FUNC-REV-03</t>
  </si>
  <si>
    <t>Hệ thống mở cửa sổ in hoặc xuất file báo cáo đúng dữ liệu</t>
  </si>
  <si>
    <t>FUNC-REV-04</t>
  </si>
  <si>
    <t>Hệ thống quay lại trang trước hoặc dashboard</t>
  </si>
  <si>
    <t>FUNC-REV-05</t>
  </si>
  <si>
    <t>Tính toán Tổng thu</t>
  </si>
  <si>
    <t>Tổng thu hiển thị chính xác theo dữ liệu</t>
  </si>
  <si>
    <t>FUNC-REV-06</t>
  </si>
  <si>
    <t>Tính toán Tổng chi</t>
  </si>
  <si>
    <t>Tổng chi hiển thị chính xác theo dữ liệu</t>
  </si>
  <si>
    <t>FUNC-REV-07</t>
  </si>
  <si>
    <t>Tính toán Doanh thu</t>
  </si>
  <si>
    <t>Doanh thu = Tổng thu – Tổng chi, kết quả hiển thị đúng</t>
  </si>
  <si>
    <t>FUNC-REV-08</t>
  </si>
  <si>
    <t>Biểu đồ tài chính</t>
  </si>
  <si>
    <t>Biểu đồ cập nhật theo dữ liệu, thể hiện 3 cột: Tổng thu, Tổng chi, Doanh thu</t>
  </si>
  <si>
    <t>FUNC-REV-09</t>
  </si>
  <si>
    <t>Thống kê chi tiết</t>
  </si>
  <si>
    <t>Bảng hiển thị giá trị chính xác theo từng hoạt động</t>
  </si>
  <si>
    <t>FUNC-REV-10</t>
  </si>
  <si>
    <t>Trường hợp không có dữ liệu</t>
  </si>
  <si>
    <t>Các giá trị hiển thị = 0, bảng thống kê không có dữ liệu hoặc = 0</t>
  </si>
  <si>
    <t>Nguyên, Nhân</t>
  </si>
  <si>
    <t>Các giá trị hiển thị = 0, bảng thống kê không có dữ liệu hoặc = 1</t>
  </si>
  <si>
    <t>GUI_SHOW Quản lý sản phẩm</t>
  </si>
  <si>
    <t>FUNCTION_SHOW Quản lý sản phẩm</t>
  </si>
  <si>
    <t>GUI-MAT-01</t>
  </si>
  <si>
    <t>Mở trang Quản lý vật liệu</t>
  </si>
  <si>
    <t>GUI-MAT-02</t>
  </si>
  <si>
    <t>Ô tìm kiếm theo tên/mô tả</t>
  </si>
  <si>
    <t>Quan sát thanh bên trái</t>
  </si>
  <si>
    <t>GUI-MAT-03</t>
  </si>
  <si>
    <t>Bộ lọc khoảng giá</t>
  </si>
  <si>
    <t>Quan sát khu vực tìm kiếm</t>
  </si>
  <si>
    <t>GUI-MAT-04</t>
  </si>
  <si>
    <t>Danh mục vật liệu</t>
  </si>
  <si>
    <t>Quan sát menu bên trái</t>
  </si>
  <si>
    <t>Có các mục: Tất cả, Dụng cụ y tế, Thuốc, Thiết bị y tế, Vật tư tiêu hao</t>
  </si>
  <si>
    <t>GUI-MAT-05</t>
  </si>
  <si>
    <t>Bộ sắp xếp</t>
  </si>
  <si>
    <t>Quan sát thanh sắp xếp</t>
  </si>
  <si>
    <t>Có các nút sắp xếp theo: Tên A-Z/Z-A, Giá ↑/↓, SL ↑/↓, Mã ↑/↓, HSD ↑/↓</t>
  </si>
  <si>
    <t>GUI-MAT-06</t>
  </si>
  <si>
    <t>Bảng danh sách vật liệu</t>
  </si>
  <si>
    <t>Quan sát phần hiển thị danh sách</t>
  </si>
  <si>
    <t>Bảng có các cột: Hình ảnh, Mã vật liệu, Tên, Danh mục, Mô tả, Số lượng, Nhà cung cấp, Hạn sử dụng, Giá, Thao tác</t>
  </si>
  <si>
    <t>GUI-MAT-07</t>
  </si>
  <si>
    <t>Định dạng hiển thị số lượng</t>
  </si>
  <si>
    <t>Kiểm tra cột “Số lượng”</t>
  </si>
  <si>
    <t>Hiển thị đúng số kèm đơn vị (vd: 100 Gói, 500 Hộp, 50 Cái)</t>
  </si>
  <si>
    <t>GUI-MAT-08</t>
  </si>
  <si>
    <t>Định dạng hiển thị hạn sử dụng</t>
  </si>
  <si>
    <t>Kiểm tra cột “Hạn sử dụng”</t>
  </si>
  <si>
    <t>GUI-MAT-09</t>
  </si>
  <si>
    <t>Định dạng giá tiền</t>
  </si>
  <si>
    <t>Kiểm tra cột “Giá”</t>
  </si>
  <si>
    <t>Hiển thị đúng định dạng tiền VND (vd: 15,000 VND)</t>
  </si>
  <si>
    <t>GUI-MAT-10</t>
  </si>
  <si>
    <t>Nút thao tác</t>
  </si>
  <si>
    <t>Quan sát cột “Thao tác”</t>
  </si>
  <si>
    <t>GUI-MAT-11</t>
  </si>
  <si>
    <t>Phân trang</t>
  </si>
  <si>
    <t>Kiểm tra cuối danh sách</t>
  </si>
  <si>
    <t>FUNC-MAT-01</t>
  </si>
  <si>
    <t>Tìm kiếm theo tên</t>
  </si>
  <si>
    <t>Nhập “Khẩu trang” → bấm Tìm kiếm</t>
  </si>
  <si>
    <t>Danh sách chỉ hiển thị vật liệu có tên “Khẩu trang”</t>
  </si>
  <si>
    <t>FUNC-MAT-02</t>
  </si>
  <si>
    <t>Tìm kiếm theo khoảng giá</t>
  </si>
  <si>
    <t>Nhập Từ = 10,000, Đến = 50,000 → bấm Tìm kiếm</t>
  </si>
  <si>
    <t>Danh sách hiển thị vật liệu có giá nằm trong khoảng</t>
  </si>
  <si>
    <t>FUNC-MAT-03</t>
  </si>
  <si>
    <t>Lọc theo danh mục</t>
  </si>
  <si>
    <t>Chỉ hiển thị vật liệu thuộc danh mục Thuốc</t>
  </si>
  <si>
    <t>FUNC-MAT-04</t>
  </si>
  <si>
    <t>Sắp xếp theo tên A-Z</t>
  </si>
  <si>
    <t>Bấm nút “Tên A-Z”</t>
  </si>
  <si>
    <t>Danh sách hiển thị theo tên tăng dần</t>
  </si>
  <si>
    <t>FUNC-MAT-05</t>
  </si>
  <si>
    <t>Sắp xếp theo số lượng giảm dần</t>
  </si>
  <si>
    <t>Bấm nút “SL ↓”</t>
  </si>
  <si>
    <t>Danh sách hiển thị vật liệu nhiều → ít</t>
  </si>
  <si>
    <t>FUNC-MAT-06</t>
  </si>
  <si>
    <t>Sắp xếp theo HSD</t>
  </si>
  <si>
    <t>Bấm “HSD ↑”</t>
  </si>
  <si>
    <t>Danh sách sắp xếp từ hạn sử dụng sớm nhất → muộn nhất</t>
  </si>
  <si>
    <t>FUNC-MAT-07</t>
  </si>
  <si>
    <t>Xem chi tiết vật liệu</t>
  </si>
  <si>
    <t>Hiển thị popup hoặc trang chi tiết vật liệu</t>
  </si>
  <si>
    <t>FUNC-MAT-08</t>
  </si>
  <si>
    <t>Xóa vật liệu</t>
  </si>
  <si>
    <t>Hiện thông báo xác nhận → sau khi đồng ý thì vật liệu bị xóa khỏi danh sách</t>
  </si>
  <si>
    <t>FUNC-MAT-09</t>
  </si>
  <si>
    <t>Danh sách chuyển sang trang 2</t>
  </si>
  <si>
    <t>FUNC-MAT-10</t>
  </si>
  <si>
    <t>Hiển thị cảnh báo vật liệu hết hạn</t>
  </si>
  <si>
    <t>Nếu HSD &lt; ngày hiện tại</t>
  </si>
  <si>
    <t>Danh sách chuyển sang trang 3</t>
  </si>
  <si>
    <t>FUNC-NV-01</t>
  </si>
  <si>
    <t>Tìm nhân viên theo tên</t>
  </si>
  <si>
    <t>Hiển thị đúng nhân viên có tên “Kế toán viên”</t>
  </si>
  <si>
    <t>FUNC-NV-02</t>
  </si>
  <si>
    <t>Tìm nhân viên không tồn tại</t>
  </si>
  <si>
    <t>Hiển thị thông báo “Không tìm thấy” hoặc danh sách rỗng</t>
  </si>
  <si>
    <t>FUNC-NV-03</t>
  </si>
  <si>
    <t>Lọc nhân viên theo chức vụ</t>
  </si>
  <si>
    <t>Hiển thị danh sách nhân viên có chức vụ “Quản trị hệ thống”</t>
  </si>
  <si>
    <t>FUNC-NV-04</t>
  </si>
  <si>
    <t>Làm mới danh sách</t>
  </si>
  <si>
    <t>Xóa bộ lọc, hiển thị toàn bộ danh sách nhân viên</t>
  </si>
  <si>
    <t>FUNC-NV-05</t>
  </si>
  <si>
    <t>Thêm mới nhân viên hợp lệ</t>
  </si>
  <si>
    <t>Nhân viên mới được thêm, xuất hiện trong danh sách</t>
  </si>
  <si>
    <t>FUNC-NV-06</t>
  </si>
  <si>
    <t>Thêm mới nhân viên thiếu thông tin</t>
  </si>
  <si>
    <t>Hiển thị thông báo lỗi “Vui lòng nhập đầy đủ thông tin”</t>
  </si>
  <si>
    <t>FUNC-NV-07</t>
  </si>
  <si>
    <t>Sửa thông tin nhân viên</t>
  </si>
  <si>
    <t>Thông tin nhân viên được cập nhật</t>
  </si>
  <si>
    <t>FUNC-NV-08</t>
  </si>
  <si>
    <t>Xóa một nhân viên</t>
  </si>
  <si>
    <t>Nhân viên bị xóa khỏi danh sách</t>
  </si>
  <si>
    <t>FUNC-NV-09</t>
  </si>
  <si>
    <t>Xóa nhiều nhân viên cùng lúc</t>
  </si>
  <si>
    <t>Các nhân viên được chọn bị xóa khỏi danh sách</t>
  </si>
  <si>
    <t>FUNC-NV-10</t>
  </si>
  <si>
    <t>Phân trang danh sách nhân viên</t>
  </si>
  <si>
    <t>Chuyển từ trang 1 → 2</t>
  </si>
  <si>
    <t>Hiển thị danh sách nhân viên ở trang 2</t>
  </si>
  <si>
    <t>GUI_SHOW Quản lý nhân viên</t>
  </si>
  <si>
    <t>FUNCTION_SHOW Quản lý nhân viên</t>
  </si>
  <si>
    <t>Hiển thị danh sách nhân viên ở trang 3</t>
  </si>
  <si>
    <t>GUI-NV-01</t>
  </si>
  <si>
    <t>Mở trang Quản lý nhân viên</t>
  </si>
  <si>
    <t>GUI-NV-02</t>
  </si>
  <si>
    <t>Thanh tìm kiếm theo tên</t>
  </si>
  <si>
    <t>Kiểm tra ô nhập tên nhân viên</t>
  </si>
  <si>
    <t>Có ô nhập liệu với placeholder “Nhập tên nhân viên…” hiển thị đúng</t>
  </si>
  <si>
    <t>GUI-NV-03</t>
  </si>
  <si>
    <t>Dropdown chọn chức vụ</t>
  </si>
  <si>
    <t>Kiểm tra dropdown chức vụ</t>
  </si>
  <si>
    <t>Dropdown hiển thị giá trị mặc định “-- Tất cả chức vụ --”</t>
  </si>
  <si>
    <t>GUI-NV-04</t>
  </si>
  <si>
    <t>Nút tìm kiếm</t>
  </si>
  <si>
    <t>Kiểm tra nút tìm kiếm</t>
  </si>
  <si>
    <t>GUI-NV-05</t>
  </si>
  <si>
    <t>Nút làm mới</t>
  </si>
  <si>
    <t>Kiểm tra nút làm mới</t>
  </si>
  <si>
    <t>Nút làm mới hiển thị icon refresh đúng chuẩn</t>
  </si>
  <si>
    <t>GUI-NV-06</t>
  </si>
  <si>
    <t>Nút thêm mới</t>
  </si>
  <si>
    <t>Kiểm tra nút thêm mới</t>
  </si>
  <si>
    <t>GUI-NV-07</t>
  </si>
  <si>
    <t>Bảng danh sách nhân viên</t>
  </si>
  <si>
    <t>Kiểm tra bảng hiển thị</t>
  </si>
  <si>
    <t>Bảng hiển thị đủ cột: Mã NV, Họ tên, Ngày sinh, Giới tính, Địa chỉ, SĐT, Email, Chức vụ, Thao tác</t>
  </si>
  <si>
    <t>GUI-NV-08</t>
  </si>
  <si>
    <t>Cột thao tác</t>
  </si>
  <si>
    <t>Kiểm tra cột thao tác</t>
  </si>
  <si>
    <t>GUI-NV-09</t>
  </si>
  <si>
    <t>Checkbox chọn nhân viên</t>
  </si>
  <si>
    <t>Kiểm tra checkbox</t>
  </si>
  <si>
    <t>Có checkbox đầu bảng (chọn tất cả) và mỗi dòng đều có checkbox chọn</t>
  </si>
  <si>
    <t>GUI-NV-10</t>
  </si>
  <si>
    <t>Kiểm tra footer danh sách</t>
  </si>
  <si>
    <t>Có thanh phân trang (ví dụ: 1, 2, &gt;) hiển thị đúng dưới bảng</t>
  </si>
  <si>
    <t>GUI-NV-11</t>
  </si>
  <si>
    <t>Nút "Xóa đã chọn"</t>
  </si>
  <si>
    <t>Kiểm tra nút xóa nhiều</t>
  </si>
  <si>
    <t>Hệ thống không tự động đăng nhập lần sau</t>
  </si>
  <si>
    <t>GUI_SHOW Đăng Xuất</t>
  </si>
  <si>
    <t>FUNCTION_SHOW Đăng xuất</t>
  </si>
  <si>
    <t>GUI-LOGOUT-03</t>
  </si>
  <si>
    <t>Hiển thị icon đăng xuất</t>
  </si>
  <si>
    <t>Icon mũi tên sang phải (⮞) hiển thị rõ ràng, đúng vị trí</t>
  </si>
  <si>
    <t>Người dùng click vào icon đăng xuất</t>
  </si>
  <si>
    <t>GUI-LOGOUT-01</t>
  </si>
  <si>
    <t>GUI-LOGOUT-02</t>
  </si>
  <si>
    <t>Hiển thị avatar người dùng</t>
  </si>
  <si>
    <t>Đăng nhập vào hệ thống</t>
  </si>
  <si>
    <t>Avatar (hình tròn) hiển thị đúng ảnh người dùng</t>
  </si>
  <si>
    <t>Hiển thị tên người dùng</t>
  </si>
  <si>
    <t>Quan sát cạnh avatar</t>
  </si>
  <si>
    <t>FUNC-LOGOUT-01</t>
  </si>
  <si>
    <t>FUNC-LOGOUT-02</t>
  </si>
  <si>
    <t>FUNC-LOGOUT-03</t>
  </si>
  <si>
    <t>Click vào nút đăng xuất</t>
  </si>
  <si>
    <t>Kiểm tra session sau đăng xuất</t>
  </si>
  <si>
    <t>Kiểm tra bảo mật URL</t>
  </si>
  <si>
    <t>Sau khi đăng xuất, nhấn Back (trình duyệt)</t>
  </si>
  <si>
    <t>Sau khi logout, nhập trực tiếp URL trang quản trị</t>
  </si>
  <si>
    <t>GUI_SHOW Đăng Ký</t>
  </si>
  <si>
    <t>GUI-REG-01</t>
  </si>
  <si>
    <t>Hiển thị tiêu đề form</t>
  </si>
  <si>
    <t>Mở trang đăng ký</t>
  </si>
  <si>
    <t>GUI-REG-02</t>
  </si>
  <si>
    <t>Hiển thị đầy đủ các ô nhập liệu</t>
  </si>
  <si>
    <t>Quan sát giao diện</t>
  </si>
  <si>
    <t>Có các field: Tên đăng nhập, Họ và tên, Số điện thoại, Địa chỉ, Mật khẩu, Xác nhận mật khẩu</t>
  </si>
  <si>
    <t>GUI-REG-03</t>
  </si>
  <si>
    <t>Hiển thị nút chính</t>
  </si>
  <si>
    <t>GUI-REG-04</t>
  </si>
  <si>
    <t>Hiển thị đăng ký mạng xã hội</t>
  </si>
  <si>
    <t>GUI-REG-05</t>
  </si>
  <si>
    <t>Hiển thị liên kết đăng nhập</t>
  </si>
  <si>
    <t>Quan sát cuối form</t>
  </si>
  <si>
    <t>Có dòng chữ: "Đã có tài khoản? Đăng nhập" (chữ Đăng nhập là link)</t>
  </si>
  <si>
    <t>Tiêu đề hiển thị: "Đăng ký tài khoản"</t>
  </si>
  <si>
    <t>Có nút Đăng ký (màu xanh) và Thoát (màu xám)</t>
  </si>
  <si>
    <t>Có nút Facebook và Google</t>
  </si>
  <si>
    <t>FUNC-REG-01</t>
  </si>
  <si>
    <t>Đăng ký thành công</t>
  </si>
  <si>
    <t>FUNC-REG-02</t>
  </si>
  <si>
    <t>Bắt buộc nhập trường</t>
  </si>
  <si>
    <t>Hiển thị cảnh báo “Vui lòng nhập đầy đủ thông tin”</t>
  </si>
  <si>
    <t>FUNC-REG-03</t>
  </si>
  <si>
    <t>Kiểm tra mật khẩu xác nhận</t>
  </si>
  <si>
    <t>Nhập mật khẩu ≠ xác nhận mật khẩu</t>
  </si>
  <si>
    <t>Hiển thị thông báo “Mật khẩu xác nhận không khớp”</t>
  </si>
  <si>
    <t>FUNC-REG-04</t>
  </si>
  <si>
    <t>Kiểm tra độ mạnh mật khẩu</t>
  </si>
  <si>
    <t>Nhập mật khẩu &lt; 6 ký tự</t>
  </si>
  <si>
    <t>Hiển thị cảnh báo “Mật khẩu quá ngắn”</t>
  </si>
  <si>
    <t>FUNC-REG-05</t>
  </si>
  <si>
    <t>Kiểm tra số điện thoại</t>
  </si>
  <si>
    <t>Nhập ký tự chữ cái vào ô số điện thoại</t>
  </si>
  <si>
    <t>Hiển thị thông báo lỗi “Số điện thoại không hợp lệ”</t>
  </si>
  <si>
    <t>FUNC-REG-06</t>
  </si>
  <si>
    <t>Kiểm tra tên đăng nhập trùng</t>
  </si>
  <si>
    <t>Đăng ký bằng tên đăng nhập đã tồn tại</t>
  </si>
  <si>
    <t>Hiển thị cảnh báo “Tên đăng nhập đã tồn tại”</t>
  </si>
  <si>
    <t>FUNC-REG-07</t>
  </si>
  <si>
    <t>Đăng ký bằng Facebook</t>
  </si>
  <si>
    <t>Nhấn nút Facebook</t>
  </si>
  <si>
    <t>Chuyển hướng sang OAuth Facebook</t>
  </si>
  <si>
    <t>FUNC-REG-08</t>
  </si>
  <si>
    <t>Đăng ký bằng Google</t>
  </si>
  <si>
    <t>Nhấn nút Google</t>
  </si>
  <si>
    <t>Chuyển hướng sang OAuth Google</t>
  </si>
  <si>
    <t>FUNC-REG-09</t>
  </si>
  <si>
    <t>Nút Thoát</t>
  </si>
  <si>
    <t>FUNC-REG-10</t>
  </si>
  <si>
    <t>Liên kết “Đăng nhập”</t>
  </si>
  <si>
    <t>Nhấn vào link Đăng nhập</t>
  </si>
  <si>
    <t>FUNCTION_SHOW Đăng ký</t>
  </si>
  <si>
    <r>
      <t xml:space="preserve">Nhập đầy đủ thông tin hợp lệ → Nhấn </t>
    </r>
    <r>
      <rPr>
        <b/>
        <sz val="13"/>
        <color theme="1"/>
        <rFont val="Times New Roman"/>
        <family val="1"/>
      </rPr>
      <t>Đăng ký</t>
    </r>
  </si>
  <si>
    <r>
      <t xml:space="preserve">Tài khoản mới được tạo, chuyển đến trang </t>
    </r>
    <r>
      <rPr>
        <b/>
        <sz val="13"/>
        <color theme="1"/>
        <rFont val="Times New Roman"/>
        <family val="1"/>
      </rPr>
      <t>Đăng nhập</t>
    </r>
    <r>
      <rPr>
        <sz val="13"/>
        <color theme="1"/>
        <rFont val="Times New Roman"/>
        <family val="1"/>
      </rPr>
      <t xml:space="preserve"> hoặc </t>
    </r>
    <r>
      <rPr>
        <b/>
        <sz val="13"/>
        <color theme="1"/>
        <rFont val="Times New Roman"/>
        <family val="1"/>
      </rPr>
      <t>Dashboard</t>
    </r>
  </si>
  <si>
    <r>
      <t xml:space="preserve">Để trống 1 hoặc nhiều trường → Nhấn </t>
    </r>
    <r>
      <rPr>
        <b/>
        <sz val="13"/>
        <color theme="1"/>
        <rFont val="Times New Roman"/>
        <family val="1"/>
      </rPr>
      <t>Đăng ký</t>
    </r>
  </si>
  <si>
    <r>
      <t xml:space="preserve">Nhấn nút </t>
    </r>
    <r>
      <rPr>
        <b/>
        <sz val="13"/>
        <color theme="1"/>
        <rFont val="Times New Roman"/>
        <family val="1"/>
      </rPr>
      <t>Thoát</t>
    </r>
  </si>
  <si>
    <r>
      <t xml:space="preserve">Quay lại trang </t>
    </r>
    <r>
      <rPr>
        <b/>
        <sz val="13"/>
        <color theme="1"/>
        <rFont val="Times New Roman"/>
        <family val="1"/>
      </rPr>
      <t>Đăng nhập</t>
    </r>
    <r>
      <rPr>
        <sz val="13"/>
        <color theme="1"/>
        <rFont val="Times New Roman"/>
        <family val="1"/>
      </rPr>
      <t xml:space="preserve"> hoặc </t>
    </r>
    <r>
      <rPr>
        <b/>
        <sz val="13"/>
        <color theme="1"/>
        <rFont val="Times New Roman"/>
        <family val="1"/>
      </rPr>
      <t>Trang chủ</t>
    </r>
  </si>
  <si>
    <r>
      <t xml:space="preserve">Chuyển đến trang </t>
    </r>
    <r>
      <rPr>
        <b/>
        <sz val="13"/>
        <color theme="1"/>
        <rFont val="Times New Roman"/>
        <family val="1"/>
      </rPr>
      <t>Đăng nhập</t>
    </r>
  </si>
  <si>
    <r>
      <t>Tên tài khoản (</t>
    </r>
    <r>
      <rPr>
        <b/>
        <sz val="13"/>
        <color theme="1"/>
        <rFont val="Times New Roman"/>
        <family val="1"/>
      </rPr>
      <t>admin</t>
    </r>
    <r>
      <rPr>
        <sz val="13"/>
        <color theme="1"/>
        <rFont val="Times New Roman"/>
        <family val="1"/>
      </rPr>
      <t>) hiển thị đúng font, rõ ràng</t>
    </r>
  </si>
  <si>
    <r>
      <t xml:space="preserve">Hệ thống đăng xuất, chuyển hướng về trang </t>
    </r>
    <r>
      <rPr>
        <b/>
        <sz val="13"/>
        <color theme="1"/>
        <rFont val="Times New Roman"/>
        <family val="1"/>
      </rPr>
      <t>Đăng nhập</t>
    </r>
  </si>
  <si>
    <r>
      <t xml:space="preserve">Hệ thống </t>
    </r>
    <r>
      <rPr>
        <b/>
        <sz val="13"/>
        <color theme="1"/>
        <rFont val="Times New Roman"/>
        <family val="1"/>
      </rPr>
      <t>không cho truy cập lại</t>
    </r>
    <r>
      <rPr>
        <sz val="13"/>
        <color theme="1"/>
        <rFont val="Times New Roman"/>
        <family val="1"/>
      </rPr>
      <t xml:space="preserve"> nếu chưa đăng nhập lại</t>
    </r>
  </si>
  <si>
    <r>
      <t xml:space="preserve">Hệ thống chuyển hướng về </t>
    </r>
    <r>
      <rPr>
        <b/>
        <sz val="13"/>
        <color theme="1"/>
        <rFont val="Times New Roman"/>
        <family val="1"/>
      </rPr>
      <t>Đăng nhập</t>
    </r>
    <r>
      <rPr>
        <sz val="13"/>
        <color theme="1"/>
        <rFont val="Times New Roman"/>
        <family val="1"/>
      </rPr>
      <t xml:space="preserve"> (không vào được dashboard)</t>
    </r>
  </si>
  <si>
    <r>
      <t xml:space="preserve">Tiêu đề </t>
    </r>
    <r>
      <rPr>
        <b/>
        <sz val="13"/>
        <color theme="1"/>
        <rFont val="Times New Roman"/>
        <family val="1"/>
      </rPr>
      <t>“Báo Cáo Tài Chính”</t>
    </r>
    <r>
      <rPr>
        <sz val="13"/>
        <color theme="1"/>
        <rFont val="Times New Roman"/>
        <family val="1"/>
      </rPr>
      <t xml:space="preserve"> hiển thị rõ ràng</t>
    </r>
  </si>
  <si>
    <r>
      <t xml:space="preserve">Có nút </t>
    </r>
    <r>
      <rPr>
        <b/>
        <sz val="13"/>
        <color theme="1"/>
        <rFont val="Times New Roman"/>
        <family val="1"/>
      </rPr>
      <t>Xem</t>
    </r>
    <r>
      <rPr>
        <sz val="13"/>
        <color theme="1"/>
        <rFont val="Times New Roman"/>
        <family val="1"/>
      </rPr>
      <t xml:space="preserve">, </t>
    </r>
    <r>
      <rPr>
        <b/>
        <sz val="13"/>
        <color theme="1"/>
        <rFont val="Times New Roman"/>
        <family val="1"/>
      </rPr>
      <t>In</t>
    </r>
    <r>
      <rPr>
        <sz val="13"/>
        <color theme="1"/>
        <rFont val="Times New Roman"/>
        <family val="1"/>
      </rPr>
      <t xml:space="preserve">, </t>
    </r>
    <r>
      <rPr>
        <b/>
        <sz val="13"/>
        <color theme="1"/>
        <rFont val="Times New Roman"/>
        <family val="1"/>
      </rPr>
      <t>Trở về</t>
    </r>
    <r>
      <rPr>
        <sz val="13"/>
        <color theme="1"/>
        <rFont val="Times New Roman"/>
        <family val="1"/>
      </rPr>
      <t xml:space="preserve"> hiển thị đúng vị trí</t>
    </r>
  </si>
  <si>
    <r>
      <t xml:space="preserve">Có 3 ô: </t>
    </r>
    <r>
      <rPr>
        <b/>
        <sz val="13"/>
        <color theme="1"/>
        <rFont val="Times New Roman"/>
        <family val="1"/>
      </rPr>
      <t>Tổng thu</t>
    </r>
    <r>
      <rPr>
        <sz val="13"/>
        <color theme="1"/>
        <rFont val="Times New Roman"/>
        <family val="1"/>
      </rPr>
      <t xml:space="preserve">, </t>
    </r>
    <r>
      <rPr>
        <b/>
        <sz val="13"/>
        <color theme="1"/>
        <rFont val="Times New Roman"/>
        <family val="1"/>
      </rPr>
      <t>Tổng chi</t>
    </r>
    <r>
      <rPr>
        <sz val="13"/>
        <color theme="1"/>
        <rFont val="Times New Roman"/>
        <family val="1"/>
      </rPr>
      <t xml:space="preserve">, </t>
    </r>
    <r>
      <rPr>
        <b/>
        <sz val="13"/>
        <color theme="1"/>
        <rFont val="Times New Roman"/>
        <family val="1"/>
      </rPr>
      <t>Doanh thu</t>
    </r>
    <r>
      <rPr>
        <sz val="13"/>
        <color theme="1"/>
        <rFont val="Times New Roman"/>
        <family val="1"/>
      </rPr>
      <t xml:space="preserve"> với giá trị hiển thị</t>
    </r>
  </si>
  <si>
    <r>
      <t xml:space="preserve">Có bảng gồm 2 cột: </t>
    </r>
    <r>
      <rPr>
        <b/>
        <sz val="13"/>
        <color theme="1"/>
        <rFont val="Times New Roman"/>
        <family val="1"/>
      </rPr>
      <t>Hoạt động</t>
    </r>
    <r>
      <rPr>
        <sz val="13"/>
        <color theme="1"/>
        <rFont val="Times New Roman"/>
        <family val="1"/>
      </rPr>
      <t xml:space="preserve"> và </t>
    </r>
    <r>
      <rPr>
        <b/>
        <sz val="13"/>
        <color theme="1"/>
        <rFont val="Times New Roman"/>
        <family val="1"/>
      </rPr>
      <t>Trị giá (VND)</t>
    </r>
  </si>
  <si>
    <r>
      <t xml:space="preserve">Chọn tháng/năm và bấm </t>
    </r>
    <r>
      <rPr>
        <b/>
        <sz val="13"/>
        <color theme="1"/>
        <rFont val="Times New Roman"/>
        <family val="1"/>
      </rPr>
      <t>Xem</t>
    </r>
  </si>
  <si>
    <r>
      <t xml:space="preserve">Chọn Tháng = 10, Năm = 2025 → bấm </t>
    </r>
    <r>
      <rPr>
        <b/>
        <sz val="13"/>
        <color theme="1"/>
        <rFont val="Times New Roman"/>
        <family val="1"/>
      </rPr>
      <t>Xem</t>
    </r>
  </si>
  <si>
    <r>
      <t xml:space="preserve">Không chọn giá trị, bấm </t>
    </r>
    <r>
      <rPr>
        <b/>
        <sz val="13"/>
        <color theme="1"/>
        <rFont val="Times New Roman"/>
        <family val="1"/>
      </rPr>
      <t>Xem</t>
    </r>
  </si>
  <si>
    <r>
      <t xml:space="preserve">Nút </t>
    </r>
    <r>
      <rPr>
        <b/>
        <sz val="13"/>
        <color theme="1"/>
        <rFont val="Times New Roman"/>
        <family val="1"/>
      </rPr>
      <t>In</t>
    </r>
  </si>
  <si>
    <r>
      <t xml:space="preserve">Chọn tháng/năm → bấm </t>
    </r>
    <r>
      <rPr>
        <b/>
        <sz val="13"/>
        <color theme="1"/>
        <rFont val="Times New Roman"/>
        <family val="1"/>
      </rPr>
      <t>In</t>
    </r>
  </si>
  <si>
    <r>
      <t xml:space="preserve">Nút </t>
    </r>
    <r>
      <rPr>
        <b/>
        <sz val="13"/>
        <color theme="1"/>
        <rFont val="Times New Roman"/>
        <family val="1"/>
      </rPr>
      <t>Trở về</t>
    </r>
  </si>
  <si>
    <r>
      <t xml:space="preserve">Bấm nút </t>
    </r>
    <r>
      <rPr>
        <b/>
        <sz val="13"/>
        <color theme="1"/>
        <rFont val="Times New Roman"/>
        <family val="1"/>
      </rPr>
      <t>Trở về</t>
    </r>
  </si>
  <si>
    <r>
      <t xml:space="preserve">Có dữ liệu bán hàng → bấm </t>
    </r>
    <r>
      <rPr>
        <b/>
        <sz val="13"/>
        <color theme="1"/>
        <rFont val="Times New Roman"/>
        <family val="1"/>
      </rPr>
      <t>Xem</t>
    </r>
  </si>
  <si>
    <r>
      <t xml:space="preserve">Có dữ liệu nhập hàng, trả khách, hủy hàng → bấm </t>
    </r>
    <r>
      <rPr>
        <b/>
        <sz val="13"/>
        <color theme="1"/>
        <rFont val="Times New Roman"/>
        <family val="1"/>
      </rPr>
      <t>Xem</t>
    </r>
  </si>
  <si>
    <r>
      <t xml:space="preserve">Có dữ liệu thu/chi → bấm </t>
    </r>
    <r>
      <rPr>
        <b/>
        <sz val="13"/>
        <color theme="1"/>
        <rFont val="Times New Roman"/>
        <family val="1"/>
      </rPr>
      <t>Xem</t>
    </r>
  </si>
  <si>
    <r>
      <t xml:space="preserve">Có dữ liệu các hoạt động (Bán hàng, Nhập hàng, Trả khách…) → bấm </t>
    </r>
    <r>
      <rPr>
        <b/>
        <sz val="13"/>
        <color theme="1"/>
        <rFont val="Times New Roman"/>
        <family val="1"/>
      </rPr>
      <t>Xem</t>
    </r>
  </si>
  <si>
    <r>
      <t xml:space="preserve">Chọn tháng/năm không có giao dịch → bấm </t>
    </r>
    <r>
      <rPr>
        <b/>
        <sz val="13"/>
        <color theme="1"/>
        <rFont val="Times New Roman"/>
        <family val="1"/>
      </rPr>
      <t>Xem</t>
    </r>
  </si>
  <si>
    <r>
      <t xml:space="preserve">Tiêu đề hiển thị </t>
    </r>
    <r>
      <rPr>
        <b/>
        <sz val="13"/>
        <color theme="1"/>
        <rFont val="Times New Roman"/>
        <family val="1"/>
      </rPr>
      <t>“Vật Liệu Y Tế”</t>
    </r>
    <r>
      <rPr>
        <sz val="13"/>
        <color theme="1"/>
        <rFont val="Times New Roman"/>
        <family val="1"/>
      </rPr>
      <t xml:space="preserve"> rõ ràng</t>
    </r>
  </si>
  <si>
    <r>
      <t xml:space="preserve">Có ô nhập tên/mô tả + nút </t>
    </r>
    <r>
      <rPr>
        <b/>
        <sz val="13"/>
        <color theme="1"/>
        <rFont val="Times New Roman"/>
        <family val="1"/>
      </rPr>
      <t>Tìm kiếm</t>
    </r>
  </si>
  <si>
    <r>
      <t xml:space="preserve">Có ô nhập </t>
    </r>
    <r>
      <rPr>
        <b/>
        <sz val="13"/>
        <color theme="1"/>
        <rFont val="Times New Roman"/>
        <family val="1"/>
      </rPr>
      <t>Từ</t>
    </r>
    <r>
      <rPr>
        <sz val="13"/>
        <color theme="1"/>
        <rFont val="Times New Roman"/>
        <family val="1"/>
      </rPr>
      <t xml:space="preserve"> và </t>
    </r>
    <r>
      <rPr>
        <b/>
        <sz val="13"/>
        <color theme="1"/>
        <rFont val="Times New Roman"/>
        <family val="1"/>
      </rPr>
      <t>Đến</t>
    </r>
  </si>
  <si>
    <r>
      <t xml:space="preserve">Hiển thị theo format </t>
    </r>
    <r>
      <rPr>
        <b/>
        <sz val="13"/>
        <color theme="1"/>
        <rFont val="Times New Roman"/>
        <family val="1"/>
      </rPr>
      <t>dd/MM/yyyy</t>
    </r>
    <r>
      <rPr>
        <sz val="13"/>
        <color theme="1"/>
        <rFont val="Times New Roman"/>
        <family val="1"/>
      </rPr>
      <t xml:space="preserve">, màu </t>
    </r>
    <r>
      <rPr>
        <b/>
        <sz val="13"/>
        <color theme="1"/>
        <rFont val="Times New Roman"/>
        <family val="1"/>
      </rPr>
      <t>xanh</t>
    </r>
    <r>
      <rPr>
        <sz val="13"/>
        <color theme="1"/>
        <rFont val="Times New Roman"/>
        <family val="1"/>
      </rPr>
      <t xml:space="preserve"> (còn hạn), </t>
    </r>
    <r>
      <rPr>
        <b/>
        <sz val="13"/>
        <color theme="1"/>
        <rFont val="Times New Roman"/>
        <family val="1"/>
      </rPr>
      <t>đỏ</t>
    </r>
    <r>
      <rPr>
        <sz val="13"/>
        <color theme="1"/>
        <rFont val="Times New Roman"/>
        <family val="1"/>
      </rPr>
      <t xml:space="preserve"> (hết hạn)</t>
    </r>
  </si>
  <si>
    <r>
      <t xml:space="preserve">Có nút </t>
    </r>
    <r>
      <rPr>
        <b/>
        <sz val="13"/>
        <color theme="1"/>
        <rFont val="Times New Roman"/>
        <family val="1"/>
      </rPr>
      <t>Xem</t>
    </r>
    <r>
      <rPr>
        <sz val="13"/>
        <color theme="1"/>
        <rFont val="Times New Roman"/>
        <family val="1"/>
      </rPr>
      <t xml:space="preserve"> (màu xanh), </t>
    </r>
    <r>
      <rPr>
        <b/>
        <sz val="13"/>
        <color theme="1"/>
        <rFont val="Times New Roman"/>
        <family val="1"/>
      </rPr>
      <t>Xóa</t>
    </r>
    <r>
      <rPr>
        <sz val="13"/>
        <color theme="1"/>
        <rFont val="Times New Roman"/>
        <family val="1"/>
      </rPr>
      <t xml:space="preserve"> (màu đỏ)</t>
    </r>
  </si>
  <si>
    <r>
      <t xml:space="preserve">Hiển thị số trang và nút </t>
    </r>
    <r>
      <rPr>
        <b/>
        <sz val="13"/>
        <color theme="1"/>
        <rFont val="Times New Roman"/>
        <family val="1"/>
      </rPr>
      <t>Tiếp</t>
    </r>
  </si>
  <si>
    <r>
      <t xml:space="preserve">Chọn </t>
    </r>
    <r>
      <rPr>
        <b/>
        <sz val="13"/>
        <color theme="1"/>
        <rFont val="Times New Roman"/>
        <family val="1"/>
      </rPr>
      <t>Thuốc</t>
    </r>
    <r>
      <rPr>
        <sz val="13"/>
        <color theme="1"/>
        <rFont val="Times New Roman"/>
        <family val="1"/>
      </rPr>
      <t xml:space="preserve"> → danh sách hiển thị</t>
    </r>
  </si>
  <si>
    <r>
      <t xml:space="preserve">Bấm nút </t>
    </r>
    <r>
      <rPr>
        <b/>
        <sz val="13"/>
        <color theme="1"/>
        <rFont val="Times New Roman"/>
        <family val="1"/>
      </rPr>
      <t>Xem</t>
    </r>
    <r>
      <rPr>
        <sz val="13"/>
        <color theme="1"/>
        <rFont val="Times New Roman"/>
        <family val="1"/>
      </rPr>
      <t xml:space="preserve"> tại một vật liệu</t>
    </r>
  </si>
  <si>
    <r>
      <t xml:space="preserve">Bấm nút </t>
    </r>
    <r>
      <rPr>
        <b/>
        <sz val="13"/>
        <color theme="1"/>
        <rFont val="Times New Roman"/>
        <family val="1"/>
      </rPr>
      <t>Xóa</t>
    </r>
    <r>
      <rPr>
        <sz val="13"/>
        <color theme="1"/>
        <rFont val="Times New Roman"/>
        <family val="1"/>
      </rPr>
      <t xml:space="preserve"> tại một vật liệu</t>
    </r>
  </si>
  <si>
    <r>
      <t xml:space="preserve">Ở trang 1, bấm </t>
    </r>
    <r>
      <rPr>
        <b/>
        <sz val="13"/>
        <color theme="1"/>
        <rFont val="Times New Roman"/>
        <family val="1"/>
      </rPr>
      <t>Tiếp</t>
    </r>
  </si>
  <si>
    <r>
      <t xml:space="preserve">Vật liệu được hiển thị màu </t>
    </r>
    <r>
      <rPr>
        <b/>
        <sz val="13"/>
        <color theme="1"/>
        <rFont val="Times New Roman"/>
        <family val="1"/>
      </rPr>
      <t>đỏ</t>
    </r>
    <r>
      <rPr>
        <sz val="13"/>
        <color theme="1"/>
        <rFont val="Times New Roman"/>
        <family val="1"/>
      </rPr>
      <t xml:space="preserve"> trong cột HSD</t>
    </r>
  </si>
  <si>
    <r>
      <t xml:space="preserve">Mở menu </t>
    </r>
    <r>
      <rPr>
        <b/>
        <sz val="13"/>
        <color theme="1"/>
        <rFont val="Times New Roman"/>
        <family val="1"/>
      </rPr>
      <t>Quản lý khách hàng</t>
    </r>
  </si>
  <si>
    <r>
      <t xml:space="preserve">Trang hiển thị tiêu đề </t>
    </r>
    <r>
      <rPr>
        <b/>
        <sz val="13"/>
        <color theme="1"/>
        <rFont val="Times New Roman"/>
        <family val="1"/>
      </rPr>
      <t>“Quản lý khách hàng”</t>
    </r>
  </si>
  <si>
    <r>
      <t xml:space="preserve">Vào trang </t>
    </r>
    <r>
      <rPr>
        <b/>
        <sz val="13"/>
        <color theme="1"/>
        <rFont val="Times New Roman"/>
        <family val="1"/>
      </rPr>
      <t>Quản lý khách hàng</t>
    </r>
  </si>
  <si>
    <r>
      <t xml:space="preserve">Có ô tìm kiếm + nút </t>
    </r>
    <r>
      <rPr>
        <b/>
        <sz val="13"/>
        <color theme="1"/>
        <rFont val="Times New Roman"/>
        <family val="1"/>
      </rPr>
      <t>Tìm kiếm</t>
    </r>
    <r>
      <rPr>
        <sz val="13"/>
        <color theme="1"/>
        <rFont val="Times New Roman"/>
        <family val="1"/>
      </rPr>
      <t xml:space="preserve"> hiển thị đúng vị trí</t>
    </r>
  </si>
  <si>
    <r>
      <t xml:space="preserve">Có nút </t>
    </r>
    <r>
      <rPr>
        <b/>
        <sz val="13"/>
        <color theme="1"/>
        <rFont val="Times New Roman"/>
        <family val="1"/>
      </rPr>
      <t>+ Thêm mới</t>
    </r>
    <r>
      <rPr>
        <sz val="13"/>
        <color theme="1"/>
        <rFont val="Times New Roman"/>
        <family val="1"/>
      </rPr>
      <t xml:space="preserve"> hiển thị góc trên phải</t>
    </r>
  </si>
  <si>
    <r>
      <t xml:space="preserve">Mỗi dòng khách hàng có nút </t>
    </r>
    <r>
      <rPr>
        <b/>
        <sz val="13"/>
        <color theme="1"/>
        <rFont val="Times New Roman"/>
        <family val="1"/>
      </rPr>
      <t>Sửa (✎)</t>
    </r>
    <r>
      <rPr>
        <sz val="13"/>
        <color theme="1"/>
        <rFont val="Times New Roman"/>
        <family val="1"/>
      </rPr>
      <t xml:space="preserve"> và </t>
    </r>
    <r>
      <rPr>
        <b/>
        <sz val="13"/>
        <color theme="1"/>
        <rFont val="Times New Roman"/>
        <family val="1"/>
      </rPr>
      <t>Xóa (🗑)</t>
    </r>
  </si>
  <si>
    <r>
      <t xml:space="preserve">Bấm </t>
    </r>
    <r>
      <rPr>
        <b/>
        <sz val="13"/>
        <color theme="1"/>
        <rFont val="Times New Roman"/>
        <family val="1"/>
      </rPr>
      <t>+ Thêm mới</t>
    </r>
    <r>
      <rPr>
        <sz val="13"/>
        <color theme="1"/>
        <rFont val="Times New Roman"/>
        <family val="1"/>
      </rPr>
      <t xml:space="preserve"> → Nhập đầy đủ thông tin hợp lệ → Lưu</t>
    </r>
  </si>
  <si>
    <r>
      <t xml:space="preserve">Bấm </t>
    </r>
    <r>
      <rPr>
        <b/>
        <sz val="13"/>
        <color theme="1"/>
        <rFont val="Times New Roman"/>
        <family val="1"/>
      </rPr>
      <t>+ Thêm mới</t>
    </r>
    <r>
      <rPr>
        <sz val="13"/>
        <color theme="1"/>
        <rFont val="Times New Roman"/>
        <family val="1"/>
      </rPr>
      <t xml:space="preserve"> → Bỏ trống trường </t>
    </r>
    <r>
      <rPr>
        <i/>
        <sz val="13"/>
        <color theme="1"/>
        <rFont val="Times New Roman"/>
        <family val="1"/>
      </rPr>
      <t>Tên KH</t>
    </r>
    <r>
      <rPr>
        <sz val="13"/>
        <color theme="1"/>
        <rFont val="Times New Roman"/>
        <family val="1"/>
      </rPr>
      <t xml:space="preserve"> hoặc </t>
    </r>
    <r>
      <rPr>
        <i/>
        <sz val="13"/>
        <color theme="1"/>
        <rFont val="Times New Roman"/>
        <family val="1"/>
      </rPr>
      <t>SĐT</t>
    </r>
    <r>
      <rPr>
        <sz val="13"/>
        <color theme="1"/>
        <rFont val="Times New Roman"/>
        <family val="1"/>
      </rPr>
      <t xml:space="preserve"> → Lưu</t>
    </r>
  </si>
  <si>
    <r>
      <t xml:space="preserve">Nhập từ khóa vào ô tìm kiếm → Bấm </t>
    </r>
    <r>
      <rPr>
        <b/>
        <sz val="13"/>
        <color theme="1"/>
        <rFont val="Times New Roman"/>
        <family val="1"/>
      </rPr>
      <t>Tìm kiếm</t>
    </r>
  </si>
  <si>
    <r>
      <t xml:space="preserve">Nhập từ khóa không có trong DB → Bấm </t>
    </r>
    <r>
      <rPr>
        <b/>
        <sz val="13"/>
        <color theme="1"/>
        <rFont val="Times New Roman"/>
        <family val="1"/>
      </rPr>
      <t>Tìm kiếm</t>
    </r>
  </si>
  <si>
    <r>
      <t xml:space="preserve">Trong bảng chọn </t>
    </r>
    <r>
      <rPr>
        <b/>
        <sz val="13"/>
        <color theme="1"/>
        <rFont val="Times New Roman"/>
        <family val="1"/>
      </rPr>
      <t>Sửa</t>
    </r>
    <r>
      <rPr>
        <sz val="13"/>
        <color theme="1"/>
        <rFont val="Times New Roman"/>
        <family val="1"/>
      </rPr>
      <t xml:space="preserve"> → Chỉnh sửa SĐT → Lưu</t>
    </r>
  </si>
  <si>
    <r>
      <t xml:space="preserve">Trong bảng chọn </t>
    </r>
    <r>
      <rPr>
        <b/>
        <sz val="13"/>
        <color theme="1"/>
        <rFont val="Times New Roman"/>
        <family val="1"/>
      </rPr>
      <t>Xóa</t>
    </r>
    <r>
      <rPr>
        <sz val="13"/>
        <color theme="1"/>
        <rFont val="Times New Roman"/>
        <family val="1"/>
      </rPr>
      <t xml:space="preserve"> → Xác nhận</t>
    </r>
  </si>
  <si>
    <r>
      <t xml:space="preserve">Tiêu đề </t>
    </r>
    <r>
      <rPr>
        <b/>
        <sz val="13"/>
        <color theme="1"/>
        <rFont val="Times New Roman"/>
        <family val="1"/>
      </rPr>
      <t>“QUẢN LÝ NHÂN VIÊN”</t>
    </r>
    <r>
      <rPr>
        <sz val="13"/>
        <color theme="1"/>
        <rFont val="Times New Roman"/>
        <family val="1"/>
      </rPr>
      <t xml:space="preserve"> hiển thị đúng, căn giữa, rõ ràng</t>
    </r>
  </si>
  <si>
    <r>
      <t xml:space="preserve">Nút </t>
    </r>
    <r>
      <rPr>
        <b/>
        <sz val="13"/>
        <color theme="1"/>
        <rFont val="Times New Roman"/>
        <family val="1"/>
      </rPr>
      <t>Tìm kiếm</t>
    </r>
    <r>
      <rPr>
        <sz val="13"/>
        <color theme="1"/>
        <rFont val="Times New Roman"/>
        <family val="1"/>
      </rPr>
      <t xml:space="preserve"> hiển thị màu nổi bật, icon kính lúp đúng</t>
    </r>
  </si>
  <si>
    <r>
      <t xml:space="preserve">Nút </t>
    </r>
    <r>
      <rPr>
        <b/>
        <sz val="13"/>
        <color theme="1"/>
        <rFont val="Times New Roman"/>
        <family val="1"/>
      </rPr>
      <t>Thêm mới</t>
    </r>
    <r>
      <rPr>
        <sz val="13"/>
        <color theme="1"/>
        <rFont val="Times New Roman"/>
        <family val="1"/>
      </rPr>
      <t xml:space="preserve"> có icon “+”, màu xanh nổi bật, nằm bên phải thanh tìm kiếm</t>
    </r>
  </si>
  <si>
    <r>
      <t xml:space="preserve">Có 2 nút: </t>
    </r>
    <r>
      <rPr>
        <b/>
        <sz val="13"/>
        <color theme="1"/>
        <rFont val="Times New Roman"/>
        <family val="1"/>
      </rPr>
      <t>Xóa (thùng rác)</t>
    </r>
    <r>
      <rPr>
        <sz val="13"/>
        <color theme="1"/>
        <rFont val="Times New Roman"/>
        <family val="1"/>
      </rPr>
      <t xml:space="preserve">, </t>
    </r>
    <r>
      <rPr>
        <b/>
        <sz val="13"/>
        <color theme="1"/>
        <rFont val="Times New Roman"/>
        <family val="1"/>
      </rPr>
      <t>Sửa (bút chì)</t>
    </r>
    <r>
      <rPr>
        <sz val="13"/>
        <color theme="1"/>
        <rFont val="Times New Roman"/>
        <family val="1"/>
      </rPr>
      <t xml:space="preserve"> hiển thị rõ</t>
    </r>
  </si>
  <si>
    <r>
      <t xml:space="preserve">Nút </t>
    </r>
    <r>
      <rPr>
        <b/>
        <sz val="13"/>
        <color theme="1"/>
        <rFont val="Times New Roman"/>
        <family val="1"/>
      </rPr>
      <t>Xóa đã chọn</t>
    </r>
    <r>
      <rPr>
        <sz val="13"/>
        <color theme="1"/>
        <rFont val="Times New Roman"/>
        <family val="1"/>
      </rPr>
      <t xml:space="preserve"> hiển thị ở phía trên bên phải bảng</t>
    </r>
  </si>
  <si>
    <r>
      <t xml:space="preserve">Nhập tên “Kế toán viên” → Nhấn </t>
    </r>
    <r>
      <rPr>
        <b/>
        <sz val="13"/>
        <color theme="1"/>
        <rFont val="Times New Roman"/>
        <family val="1"/>
      </rPr>
      <t>Tìm kiếm</t>
    </r>
  </si>
  <si>
    <r>
      <t xml:space="preserve">Nhập tên “Nguyễn Văn A” → Nhấn </t>
    </r>
    <r>
      <rPr>
        <b/>
        <sz val="13"/>
        <color theme="1"/>
        <rFont val="Times New Roman"/>
        <family val="1"/>
      </rPr>
      <t>Tìm kiếm</t>
    </r>
  </si>
  <si>
    <r>
      <t xml:space="preserve">Chọn chức vụ “Quản trị hệ thống” → Nhấn </t>
    </r>
    <r>
      <rPr>
        <b/>
        <sz val="13"/>
        <color theme="1"/>
        <rFont val="Times New Roman"/>
        <family val="1"/>
      </rPr>
      <t>Tìm kiếm</t>
    </r>
  </si>
  <si>
    <r>
      <t xml:space="preserve">Nhấn nút </t>
    </r>
    <r>
      <rPr>
        <b/>
        <sz val="13"/>
        <color theme="1"/>
        <rFont val="Times New Roman"/>
        <family val="1"/>
      </rPr>
      <t>Làm mới</t>
    </r>
  </si>
  <si>
    <r>
      <t xml:space="preserve">Nhấn </t>
    </r>
    <r>
      <rPr>
        <b/>
        <sz val="13"/>
        <color theme="1"/>
        <rFont val="Times New Roman"/>
        <family val="1"/>
      </rPr>
      <t>Thêm mới</t>
    </r>
    <r>
      <rPr>
        <sz val="13"/>
        <color theme="1"/>
        <rFont val="Times New Roman"/>
        <family val="1"/>
      </rPr>
      <t xml:space="preserve"> → Nhập đầy đủ thông tin hợp lệ → Lưu</t>
    </r>
  </si>
  <si>
    <r>
      <t xml:space="preserve">Nhấn </t>
    </r>
    <r>
      <rPr>
        <b/>
        <sz val="13"/>
        <color theme="1"/>
        <rFont val="Times New Roman"/>
        <family val="1"/>
      </rPr>
      <t>Thêm mới</t>
    </r>
    <r>
      <rPr>
        <sz val="13"/>
        <color theme="1"/>
        <rFont val="Times New Roman"/>
        <family val="1"/>
      </rPr>
      <t xml:space="preserve"> → Bỏ trống trường bắt buộc (ví dụ: Họ tên, Email) → Lưu</t>
    </r>
  </si>
  <si>
    <r>
      <t xml:space="preserve">Chọn nhân viên NV003 → Nhấn </t>
    </r>
    <r>
      <rPr>
        <b/>
        <sz val="13"/>
        <color theme="1"/>
        <rFont val="Times New Roman"/>
        <family val="1"/>
      </rPr>
      <t>Sửa</t>
    </r>
    <r>
      <rPr>
        <sz val="13"/>
        <color theme="1"/>
        <rFont val="Times New Roman"/>
        <family val="1"/>
      </rPr>
      <t xml:space="preserve"> → Thay đổi địa chỉ → Lưu</t>
    </r>
  </si>
  <si>
    <r>
      <t xml:space="preserve">Chọn nhân viên NV0010 → Nhấn </t>
    </r>
    <r>
      <rPr>
        <b/>
        <sz val="13"/>
        <color theme="1"/>
        <rFont val="Times New Roman"/>
        <family val="1"/>
      </rPr>
      <t>Xóa</t>
    </r>
    <r>
      <rPr>
        <sz val="13"/>
        <color theme="1"/>
        <rFont val="Times New Roman"/>
        <family val="1"/>
      </rPr>
      <t xml:space="preserve"> → Xác nhận</t>
    </r>
  </si>
  <si>
    <r>
      <t xml:space="preserve">Tick chọn NV008 và NV009 → Nhấn </t>
    </r>
    <r>
      <rPr>
        <b/>
        <sz val="13"/>
        <color theme="1"/>
        <rFont val="Times New Roman"/>
        <family val="1"/>
      </rPr>
      <t>Xóa đã chọn</t>
    </r>
    <r>
      <rPr>
        <sz val="13"/>
        <color theme="1"/>
        <rFont val="Times New Roman"/>
        <family val="1"/>
      </rPr>
      <t xml:space="preserve"> → Xác nhận</t>
    </r>
  </si>
  <si>
    <t>14/10/2025</t>
  </si>
  <si>
    <t>15/10/2025</t>
  </si>
  <si>
    <t>16/10/2025</t>
  </si>
  <si>
    <t>17/10/2025</t>
  </si>
  <si>
    <t>18/10/2025</t>
  </si>
  <si>
    <t>19/10/2025</t>
  </si>
  <si>
    <t>22/10/2025</t>
  </si>
  <si>
    <t>23/10/2025</t>
  </si>
  <si>
    <t>26/10/2025</t>
  </si>
  <si>
    <t>27/10/2025</t>
  </si>
  <si>
    <t>29/10/2025</t>
  </si>
  <si>
    <t>30/10/2025</t>
  </si>
  <si>
    <t>PHÁT TRIỂN HỆ THÔNG PHÂN PHỐI VẬT TƯ Y TẾ TÍCH HỢP CHATBOT HỖ TRỢ KHÁCH HÀNG VÀ THANH TOÁN ĐIỆN TỬ VNPAY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</si>
</sst>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0;[Red]0"/>
  </numFmts>
  <fonts count="26">
    <font>
      <sz val="11"/>
      <color theme="1"/>
      <name val="Calibri"/>
      <family val="2"/>
      <scheme val="minor"/>
    </font>
    <font>
      <sz val="10"/>
      <name val="Arial2"/>
    </font>
    <font>
      <sz val="10"/>
      <name val="FreeSans"/>
      <family val="2"/>
    </font>
    <font>
      <sz val="11"/>
      <name val="ＭＳ Ｐゴシック"/>
      <family val="2"/>
    </font>
    <font>
      <b/>
      <sz val="13"/>
      <color indexed="9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0"/>
      <color indexed="9"/>
      <name val="Times New Roman"/>
      <family val="1"/>
    </font>
    <font>
      <b/>
      <sz val="13"/>
      <name val="Times New Roman"/>
      <family val="1"/>
    </font>
    <font>
      <sz val="16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indexed="57"/>
      <name val="Times New Roman"/>
      <family val="1"/>
    </font>
    <font>
      <i/>
      <sz val="13"/>
      <name val="Times New Roman"/>
      <family val="1"/>
    </font>
    <font>
      <sz val="13"/>
      <color indexed="9"/>
      <name val="Times New Roman"/>
      <family val="1"/>
    </font>
    <font>
      <sz val="13"/>
      <color theme="1"/>
      <name val="Calibri"/>
      <family val="2"/>
      <scheme val="minor"/>
    </font>
    <font>
      <b/>
      <sz val="13"/>
      <color theme="0"/>
      <name val="Times New Roman"/>
      <family val="1"/>
    </font>
    <font>
      <b/>
      <sz val="13"/>
      <color theme="0"/>
      <name val="Calibri"/>
      <family val="2"/>
      <scheme val="minor"/>
    </font>
    <font>
      <sz val="7"/>
      <color theme="1"/>
      <name val="Times New Roman"/>
      <family val="1"/>
    </font>
    <font>
      <sz val="8"/>
      <name val="Calibri"/>
      <family val="2"/>
      <scheme val="minor"/>
    </font>
    <font>
      <sz val="13"/>
      <color rgb="FF000000"/>
      <name val="Times New Roman"/>
      <family val="1"/>
    </font>
    <font>
      <sz val="13"/>
      <color rgb="FF00000A"/>
      <name val="Times New Roman"/>
      <family val="1"/>
    </font>
    <font>
      <i/>
      <sz val="13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21"/>
        <bgColor indexed="38"/>
      </patternFill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rgb="FF008080"/>
        <bgColor rgb="FF008080"/>
      </patternFill>
    </fill>
    <fill>
      <patternFill patternType="solid">
        <fgColor theme="0"/>
        <bgColor indexed="38"/>
      </patternFill>
    </fill>
    <fill>
      <patternFill patternType="solid">
        <fgColor theme="8" tint="0.59999389629810485"/>
        <bgColor indexed="38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indexed="38"/>
      </patternFill>
    </fill>
    <fill>
      <patternFill patternType="solid">
        <fgColor theme="0"/>
        <bgColor indexed="41"/>
      </patternFill>
    </fill>
  </fills>
  <borders count="4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thin">
        <color indexed="63"/>
      </bottom>
      <diagonal/>
    </border>
    <border>
      <left/>
      <right style="hair">
        <color indexed="8"/>
      </right>
      <top/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 applyBorder="0" applyProtection="0">
      <alignment vertical="center"/>
    </xf>
    <xf numFmtId="9" fontId="2" fillId="0" borderId="0" applyBorder="0" applyProtection="0"/>
    <xf numFmtId="0" fontId="3" fillId="0" borderId="0"/>
  </cellStyleXfs>
  <cellXfs count="199">
    <xf numFmtId="0" fontId="0" fillId="0" borderId="0" xfId="0"/>
    <xf numFmtId="0" fontId="8" fillId="0" borderId="0" xfId="1" applyFont="1" applyBorder="1" applyProtection="1">
      <alignment vertical="center"/>
    </xf>
    <xf numFmtId="0" fontId="9" fillId="0" borderId="0" xfId="1" applyFont="1" applyBorder="1" applyAlignment="1" applyProtection="1"/>
    <xf numFmtId="0" fontId="8" fillId="0" borderId="0" xfId="1" applyFont="1" applyBorder="1" applyAlignment="1" applyProtection="1"/>
    <xf numFmtId="164" fontId="8" fillId="0" borderId="0" xfId="1" applyNumberFormat="1" applyFont="1" applyBorder="1" applyAlignment="1" applyProtection="1"/>
    <xf numFmtId="0" fontId="11" fillId="0" borderId="0" xfId="1" applyFont="1" applyBorder="1" applyProtection="1">
      <alignment vertical="center"/>
    </xf>
    <xf numFmtId="0" fontId="8" fillId="3" borderId="0" xfId="1" applyFont="1" applyFill="1" applyBorder="1" applyProtection="1">
      <alignment vertical="center"/>
    </xf>
    <xf numFmtId="0" fontId="10" fillId="0" borderId="0" xfId="0" applyFont="1"/>
    <xf numFmtId="0" fontId="6" fillId="0" borderId="0" xfId="0" applyFont="1"/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vertical="center" wrapText="1"/>
    </xf>
    <xf numFmtId="0" fontId="13" fillId="0" borderId="6" xfId="0" applyFont="1" applyBorder="1" applyAlignment="1">
      <alignment horizontal="center"/>
    </xf>
    <xf numFmtId="0" fontId="13" fillId="0" borderId="6" xfId="0" applyFont="1" applyBorder="1" applyAlignment="1">
      <alignment vertical="center" wrapText="1"/>
    </xf>
    <xf numFmtId="0" fontId="12" fillId="0" borderId="5" xfId="1" applyFont="1" applyBorder="1" applyAlignment="1" applyProtection="1">
      <alignment horizontal="center" vertical="center"/>
    </xf>
    <xf numFmtId="0" fontId="12" fillId="0" borderId="5" xfId="1" applyFont="1" applyBorder="1" applyAlignment="1" applyProtection="1">
      <alignment horizontal="center"/>
    </xf>
    <xf numFmtId="0" fontId="12" fillId="0" borderId="5" xfId="1" applyFont="1" applyBorder="1" applyAlignment="1" applyProtection="1">
      <alignment horizontal="center" vertical="top"/>
    </xf>
    <xf numFmtId="0" fontId="6" fillId="0" borderId="5" xfId="0" applyFont="1" applyBorder="1" applyAlignment="1">
      <alignment horizontal="center"/>
    </xf>
    <xf numFmtId="0" fontId="12" fillId="0" borderId="6" xfId="1" applyFont="1" applyBorder="1" applyProtection="1">
      <alignment vertical="center"/>
    </xf>
    <xf numFmtId="0" fontId="15" fillId="0" borderId="6" xfId="1" applyFont="1" applyBorder="1" applyAlignment="1" applyProtection="1">
      <alignment vertical="top" wrapText="1"/>
    </xf>
    <xf numFmtId="0" fontId="5" fillId="0" borderId="6" xfId="1" applyFont="1" applyBorder="1" applyAlignment="1" applyProtection="1">
      <alignment wrapText="1"/>
    </xf>
    <xf numFmtId="0" fontId="12" fillId="0" borderId="3" xfId="1" applyFont="1" applyBorder="1" applyProtection="1">
      <alignment vertical="center"/>
    </xf>
    <xf numFmtId="0" fontId="15" fillId="0" borderId="3" xfId="1" applyFont="1" applyBorder="1" applyAlignment="1" applyProtection="1">
      <alignment vertical="top" wrapText="1"/>
    </xf>
    <xf numFmtId="0" fontId="12" fillId="0" borderId="3" xfId="1" applyFont="1" applyBorder="1" applyAlignment="1" applyProtection="1"/>
    <xf numFmtId="0" fontId="16" fillId="0" borderId="3" xfId="1" applyFont="1" applyBorder="1" applyAlignment="1" applyProtection="1"/>
    <xf numFmtId="0" fontId="4" fillId="2" borderId="3" xfId="1" applyFont="1" applyFill="1" applyBorder="1" applyAlignment="1" applyProtection="1">
      <alignment horizontal="center" vertical="center"/>
    </xf>
    <xf numFmtId="0" fontId="4" fillId="2" borderId="3" xfId="1" applyFont="1" applyFill="1" applyBorder="1" applyAlignment="1" applyProtection="1">
      <alignment horizontal="center" vertical="center" wrapText="1"/>
    </xf>
    <xf numFmtId="0" fontId="5" fillId="0" borderId="3" xfId="1" applyFont="1" applyBorder="1" applyAlignment="1" applyProtection="1">
      <alignment horizontal="center"/>
    </xf>
    <xf numFmtId="165" fontId="5" fillId="0" borderId="3" xfId="2" applyNumberFormat="1" applyFont="1" applyBorder="1" applyAlignment="1" applyProtection="1">
      <alignment horizontal="center"/>
    </xf>
    <xf numFmtId="1" fontId="5" fillId="0" borderId="3" xfId="2" applyNumberFormat="1" applyFont="1" applyBorder="1" applyAlignment="1" applyProtection="1">
      <alignment horizontal="center"/>
    </xf>
    <xf numFmtId="0" fontId="5" fillId="0" borderId="18" xfId="1" applyFont="1" applyBorder="1" applyAlignment="1" applyProtection="1">
      <alignment horizontal="center"/>
    </xf>
    <xf numFmtId="165" fontId="5" fillId="0" borderId="18" xfId="2" applyNumberFormat="1" applyFont="1" applyBorder="1" applyAlignment="1" applyProtection="1">
      <alignment horizontal="center"/>
    </xf>
    <xf numFmtId="1" fontId="5" fillId="0" borderId="18" xfId="2" applyNumberFormat="1" applyFont="1" applyBorder="1" applyAlignment="1" applyProtection="1">
      <alignment horizontal="center"/>
    </xf>
    <xf numFmtId="0" fontId="5" fillId="2" borderId="3" xfId="1" applyFont="1" applyFill="1" applyBorder="1" applyAlignment="1" applyProtection="1">
      <alignment horizontal="center"/>
    </xf>
    <xf numFmtId="0" fontId="4" fillId="2" borderId="3" xfId="1" applyFont="1" applyFill="1" applyBorder="1" applyAlignment="1" applyProtection="1"/>
    <xf numFmtId="165" fontId="4" fillId="2" borderId="3" xfId="1" applyNumberFormat="1" applyFont="1" applyFill="1" applyBorder="1" applyAlignment="1" applyProtection="1">
      <alignment horizontal="center"/>
    </xf>
    <xf numFmtId="0" fontId="5" fillId="3" borderId="0" xfId="1" applyFont="1" applyFill="1" applyBorder="1" applyAlignment="1" applyProtection="1">
      <alignment horizontal="center"/>
    </xf>
    <xf numFmtId="0" fontId="4" fillId="3" borderId="8" xfId="1" applyFont="1" applyFill="1" applyBorder="1" applyAlignment="1" applyProtection="1"/>
    <xf numFmtId="0" fontId="12" fillId="3" borderId="9" xfId="1" applyFont="1" applyFill="1" applyBorder="1" applyAlignment="1" applyProtection="1">
      <alignment horizontal="center"/>
    </xf>
    <xf numFmtId="0" fontId="17" fillId="3" borderId="10" xfId="1" applyFont="1" applyFill="1" applyBorder="1" applyAlignment="1" applyProtection="1">
      <alignment horizontal="center"/>
    </xf>
    <xf numFmtId="0" fontId="17" fillId="3" borderId="0" xfId="1" applyFont="1" applyFill="1" applyBorder="1" applyAlignment="1" applyProtection="1">
      <alignment horizontal="center"/>
    </xf>
    <xf numFmtId="0" fontId="4" fillId="3" borderId="0" xfId="1" applyFont="1" applyFill="1" applyBorder="1" applyAlignment="1" applyProtection="1">
      <alignment horizontal="center"/>
    </xf>
    <xf numFmtId="9" fontId="17" fillId="3" borderId="0" xfId="2" applyFont="1" applyFill="1" applyBorder="1" applyAlignment="1" applyProtection="1">
      <alignment horizontal="center"/>
    </xf>
    <xf numFmtId="0" fontId="5" fillId="0" borderId="0" xfId="1" applyFont="1" applyBorder="1" applyAlignment="1" applyProtection="1"/>
    <xf numFmtId="0" fontId="12" fillId="0" borderId="11" xfId="1" applyFont="1" applyBorder="1" applyAlignment="1" applyProtection="1">
      <alignment horizontal="left"/>
    </xf>
    <xf numFmtId="0" fontId="5" fillId="0" borderId="12" xfId="1" applyFont="1" applyBorder="1" applyAlignment="1" applyProtection="1"/>
    <xf numFmtId="0" fontId="5" fillId="0" borderId="11" xfId="1" applyFont="1" applyBorder="1" applyAlignment="1" applyProtection="1"/>
    <xf numFmtId="2" fontId="12" fillId="0" borderId="7" xfId="1" applyNumberFormat="1" applyFont="1" applyBorder="1" applyAlignment="1" applyProtection="1">
      <alignment horizontal="right" wrapText="1"/>
    </xf>
    <xf numFmtId="0" fontId="5" fillId="0" borderId="0" xfId="1" applyFont="1" applyBorder="1" applyProtection="1">
      <alignment vertical="center"/>
    </xf>
    <xf numFmtId="0" fontId="5" fillId="0" borderId="0" xfId="1" applyFont="1" applyBorder="1" applyAlignment="1" applyProtection="1">
      <alignment horizontal="center" wrapText="1"/>
    </xf>
    <xf numFmtId="0" fontId="5" fillId="0" borderId="13" xfId="1" applyFont="1" applyBorder="1" applyAlignment="1" applyProtection="1"/>
    <xf numFmtId="0" fontId="12" fillId="0" borderId="14" xfId="1" applyFont="1" applyBorder="1" applyAlignment="1" applyProtection="1">
      <alignment horizontal="left"/>
    </xf>
    <xf numFmtId="0" fontId="5" fillId="0" borderId="15" xfId="1" applyFont="1" applyBorder="1" applyAlignment="1" applyProtection="1"/>
    <xf numFmtId="0" fontId="5" fillId="0" borderId="16" xfId="1" applyFont="1" applyBorder="1" applyAlignment="1" applyProtection="1"/>
    <xf numFmtId="2" fontId="12" fillId="0" borderId="17" xfId="1" applyNumberFormat="1" applyFont="1" applyBorder="1" applyAlignment="1" applyProtection="1">
      <alignment horizontal="right" wrapText="1"/>
    </xf>
    <xf numFmtId="0" fontId="5" fillId="0" borderId="13" xfId="1" applyFont="1" applyBorder="1" applyProtection="1">
      <alignment vertical="center"/>
    </xf>
    <xf numFmtId="0" fontId="5" fillId="0" borderId="13" xfId="1" applyFont="1" applyBorder="1" applyAlignment="1" applyProtection="1">
      <alignment horizontal="center" wrapText="1"/>
    </xf>
    <xf numFmtId="0" fontId="13" fillId="0" borderId="22" xfId="0" applyFont="1" applyBorder="1" applyAlignment="1">
      <alignment horizontal="center"/>
    </xf>
    <xf numFmtId="0" fontId="13" fillId="0" borderId="22" xfId="0" applyFont="1" applyBorder="1" applyAlignment="1">
      <alignment vertical="center" wrapText="1"/>
    </xf>
    <xf numFmtId="9" fontId="17" fillId="3" borderId="23" xfId="2" applyFont="1" applyFill="1" applyBorder="1" applyAlignment="1" applyProtection="1">
      <alignment horizontal="center"/>
    </xf>
    <xf numFmtId="0" fontId="5" fillId="0" borderId="23" xfId="1" applyFont="1" applyBorder="1" applyAlignment="1" applyProtection="1">
      <alignment horizontal="center" wrapText="1"/>
    </xf>
    <xf numFmtId="0" fontId="5" fillId="0" borderId="24" xfId="1" applyFont="1" applyBorder="1" applyAlignment="1" applyProtection="1">
      <alignment horizontal="center" wrapText="1"/>
    </xf>
    <xf numFmtId="0" fontId="6" fillId="0" borderId="18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25" xfId="0" applyFont="1" applyBorder="1" applyAlignment="1">
      <alignment vertical="center" wrapText="1"/>
    </xf>
    <xf numFmtId="0" fontId="5" fillId="0" borderId="26" xfId="1" applyFont="1" applyBorder="1" applyAlignment="1" applyProtection="1">
      <alignment horizontal="center"/>
    </xf>
    <xf numFmtId="165" fontId="5" fillId="0" borderId="26" xfId="2" applyNumberFormat="1" applyFont="1" applyBorder="1" applyAlignment="1" applyProtection="1">
      <alignment horizontal="center"/>
    </xf>
    <xf numFmtId="1" fontId="5" fillId="0" borderId="26" xfId="2" applyNumberFormat="1" applyFont="1" applyBorder="1" applyAlignment="1" applyProtection="1">
      <alignment horizontal="center"/>
    </xf>
    <xf numFmtId="0" fontId="12" fillId="0" borderId="0" xfId="0" applyFont="1" applyAlignment="1">
      <alignment vertical="center"/>
    </xf>
    <xf numFmtId="0" fontId="6" fillId="0" borderId="18" xfId="0" applyFont="1" applyBorder="1"/>
    <xf numFmtId="0" fontId="14" fillId="0" borderId="18" xfId="0" applyFont="1" applyBorder="1"/>
    <xf numFmtId="0" fontId="6" fillId="0" borderId="18" xfId="0" applyFont="1" applyBorder="1" applyAlignment="1">
      <alignment horizontal="right" vertical="top" wrapText="1"/>
    </xf>
    <xf numFmtId="0" fontId="6" fillId="3" borderId="18" xfId="3" applyFont="1" applyFill="1" applyBorder="1" applyAlignment="1">
      <alignment horizontal="left" vertical="top" wrapText="1"/>
    </xf>
    <xf numFmtId="0" fontId="6" fillId="3" borderId="18" xfId="0" applyFont="1" applyFill="1" applyBorder="1" applyAlignment="1">
      <alignment horizontal="left" vertical="top" wrapText="1"/>
    </xf>
    <xf numFmtId="0" fontId="6" fillId="0" borderId="18" xfId="0" applyFont="1" applyBorder="1" applyAlignment="1">
      <alignment horizontal="center" vertical="top"/>
    </xf>
    <xf numFmtId="0" fontId="18" fillId="0" borderId="18" xfId="0" applyFont="1" applyBorder="1"/>
    <xf numFmtId="0" fontId="6" fillId="0" borderId="18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left" vertical="center" wrapText="1"/>
    </xf>
    <xf numFmtId="0" fontId="19" fillId="9" borderId="18" xfId="0" applyFont="1" applyFill="1" applyBorder="1" applyAlignment="1">
      <alignment horizontal="center" vertical="center"/>
    </xf>
    <xf numFmtId="164" fontId="19" fillId="9" borderId="18" xfId="0" applyNumberFormat="1" applyFont="1" applyFill="1" applyBorder="1" applyAlignment="1">
      <alignment horizontal="center" vertical="center"/>
    </xf>
    <xf numFmtId="0" fontId="19" fillId="5" borderId="18" xfId="0" applyFont="1" applyFill="1" applyBorder="1"/>
    <xf numFmtId="0" fontId="19" fillId="5" borderId="18" xfId="0" applyFont="1" applyFill="1" applyBorder="1" applyAlignment="1">
      <alignment horizontal="center" vertical="center"/>
    </xf>
    <xf numFmtId="0" fontId="19" fillId="5" borderId="18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left" vertical="center"/>
    </xf>
    <xf numFmtId="0" fontId="14" fillId="4" borderId="27" xfId="0" applyFont="1" applyFill="1" applyBorder="1" applyAlignment="1">
      <alignment horizontal="left" vertical="center"/>
    </xf>
    <xf numFmtId="0" fontId="14" fillId="4" borderId="28" xfId="0" applyFont="1" applyFill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14" fillId="2" borderId="37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left" vertical="center"/>
    </xf>
    <xf numFmtId="0" fontId="14" fillId="6" borderId="18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9" fillId="9" borderId="18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left" vertical="center"/>
    </xf>
    <xf numFmtId="0" fontId="14" fillId="7" borderId="27" xfId="0" applyFont="1" applyFill="1" applyBorder="1" applyAlignment="1">
      <alignment horizontal="left" vertical="center"/>
    </xf>
    <xf numFmtId="0" fontId="14" fillId="7" borderId="28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center" vertical="top" wrapText="1"/>
    </xf>
    <xf numFmtId="164" fontId="4" fillId="2" borderId="18" xfId="0" applyNumberFormat="1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top"/>
    </xf>
    <xf numFmtId="0" fontId="12" fillId="4" borderId="18" xfId="0" applyFont="1" applyFill="1" applyBorder="1" applyAlignment="1">
      <alignment horizontal="left" vertical="center"/>
    </xf>
    <xf numFmtId="0" fontId="5" fillId="0" borderId="18" xfId="0" applyFont="1" applyBorder="1" applyAlignment="1">
      <alignment horizontal="left" vertical="top" wrapText="1"/>
    </xf>
    <xf numFmtId="0" fontId="12" fillId="4" borderId="4" xfId="0" applyFont="1" applyFill="1" applyBorder="1" applyAlignment="1">
      <alignment horizontal="left" vertical="center"/>
    </xf>
    <xf numFmtId="0" fontId="12" fillId="4" borderId="27" xfId="0" applyFont="1" applyFill="1" applyBorder="1" applyAlignment="1">
      <alignment horizontal="left" vertical="center"/>
    </xf>
    <xf numFmtId="0" fontId="12" fillId="4" borderId="28" xfId="0" applyFont="1" applyFill="1" applyBorder="1" applyAlignment="1">
      <alignment horizontal="left" vertical="center"/>
    </xf>
    <xf numFmtId="0" fontId="12" fillId="10" borderId="0" xfId="0" applyFont="1" applyFill="1" applyBorder="1" applyAlignment="1">
      <alignment vertical="center"/>
    </xf>
    <xf numFmtId="0" fontId="5" fillId="10" borderId="18" xfId="0" applyFont="1" applyFill="1" applyBorder="1" applyAlignment="1">
      <alignment vertical="center"/>
    </xf>
    <xf numFmtId="14" fontId="5" fillId="10" borderId="18" xfId="0" applyNumberFormat="1" applyFont="1" applyFill="1" applyBorder="1" applyAlignment="1">
      <alignment vertical="center"/>
    </xf>
    <xf numFmtId="0" fontId="5" fillId="0" borderId="0" xfId="0" applyFont="1" applyBorder="1" applyAlignment="1">
      <alignment horizontal="left" vertical="top" wrapText="1"/>
    </xf>
    <xf numFmtId="14" fontId="23" fillId="0" borderId="18" xfId="0" applyNumberFormat="1" applyFont="1" applyBorder="1" applyAlignment="1">
      <alignment horizontal="left" vertical="top"/>
    </xf>
    <xf numFmtId="0" fontId="24" fillId="0" borderId="18" xfId="0" applyFont="1" applyBorder="1" applyAlignment="1">
      <alignment horizontal="left" vertical="top"/>
    </xf>
    <xf numFmtId="0" fontId="14" fillId="4" borderId="4" xfId="0" applyFont="1" applyFill="1" applyBorder="1" applyAlignment="1">
      <alignment horizontal="left" vertical="center"/>
    </xf>
    <xf numFmtId="0" fontId="14" fillId="4" borderId="27" xfId="0" applyFont="1" applyFill="1" applyBorder="1" applyAlignment="1">
      <alignment horizontal="left" vertical="center"/>
    </xf>
    <xf numFmtId="0" fontId="14" fillId="4" borderId="28" xfId="0" applyFont="1" applyFill="1" applyBorder="1" applyAlignment="1">
      <alignment horizontal="left" vertical="center"/>
    </xf>
    <xf numFmtId="0" fontId="14" fillId="4" borderId="41" xfId="0" applyFont="1" applyFill="1" applyBorder="1" applyAlignment="1">
      <alignment horizontal="left" vertical="center"/>
    </xf>
    <xf numFmtId="0" fontId="14" fillId="4" borderId="13" xfId="0" applyFont="1" applyFill="1" applyBorder="1" applyAlignment="1">
      <alignment horizontal="left" vertical="center"/>
    </xf>
    <xf numFmtId="0" fontId="14" fillId="4" borderId="24" xfId="0" applyFont="1" applyFill="1" applyBorder="1" applyAlignment="1">
      <alignment horizontal="left" vertical="center"/>
    </xf>
    <xf numFmtId="0" fontId="6" fillId="0" borderId="18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/>
    </xf>
    <xf numFmtId="0" fontId="6" fillId="0" borderId="0" xfId="0" applyFont="1" applyBorder="1"/>
    <xf numFmtId="14" fontId="23" fillId="0" borderId="0" xfId="0" applyNumberFormat="1" applyFont="1"/>
    <xf numFmtId="0" fontId="6" fillId="0" borderId="4" xfId="0" applyFont="1" applyBorder="1" applyAlignment="1">
      <alignment horizontal="center" vertical="top"/>
    </xf>
    <xf numFmtId="0" fontId="6" fillId="0" borderId="28" xfId="0" applyFont="1" applyBorder="1" applyAlignment="1">
      <alignment horizontal="center" vertical="top"/>
    </xf>
    <xf numFmtId="14" fontId="23" fillId="0" borderId="18" xfId="0" applyNumberFormat="1" applyFont="1" applyBorder="1"/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14" fontId="23" fillId="0" borderId="18" xfId="0" applyNumberFormat="1" applyFont="1" applyBorder="1" applyAlignment="1">
      <alignment horizontal="center" vertical="top" wrapText="1"/>
    </xf>
    <xf numFmtId="0" fontId="23" fillId="0" borderId="0" xfId="0" applyFont="1"/>
    <xf numFmtId="0" fontId="23" fillId="0" borderId="18" xfId="0" applyFont="1" applyBorder="1" applyAlignment="1">
      <alignment horizontal="center"/>
    </xf>
    <xf numFmtId="0" fontId="23" fillId="0" borderId="18" xfId="0" applyFont="1" applyBorder="1" applyAlignment="1">
      <alignment horizontal="center" vertical="center"/>
    </xf>
    <xf numFmtId="0" fontId="23" fillId="0" borderId="18" xfId="0" applyFont="1" applyBorder="1"/>
    <xf numFmtId="0" fontId="23" fillId="0" borderId="18" xfId="0" applyFont="1" applyBorder="1" applyAlignment="1">
      <alignment horizontal="center" vertical="top" wrapText="1"/>
    </xf>
    <xf numFmtId="0" fontId="14" fillId="4" borderId="0" xfId="0" applyFont="1" applyFill="1" applyBorder="1" applyAlignment="1">
      <alignment horizontal="left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18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19" fillId="9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 wrapText="1"/>
    </xf>
    <xf numFmtId="0" fontId="20" fillId="8" borderId="18" xfId="0" applyFont="1" applyFill="1" applyBorder="1" applyAlignment="1">
      <alignment horizontal="center"/>
    </xf>
    <xf numFmtId="0" fontId="14" fillId="7" borderId="4" xfId="0" applyFont="1" applyFill="1" applyBorder="1" applyAlignment="1">
      <alignment horizontal="left" vertical="center"/>
    </xf>
    <xf numFmtId="0" fontId="14" fillId="7" borderId="27" xfId="0" applyFont="1" applyFill="1" applyBorder="1" applyAlignment="1">
      <alignment horizontal="left" vertical="center"/>
    </xf>
    <xf numFmtId="0" fontId="14" fillId="7" borderId="42" xfId="0" applyFont="1" applyFill="1" applyBorder="1" applyAlignment="1">
      <alignment horizontal="left" vertical="center"/>
    </xf>
    <xf numFmtId="0" fontId="14" fillId="7" borderId="28" xfId="0" applyFont="1" applyFill="1" applyBorder="1" applyAlignment="1">
      <alignment horizontal="left" vertical="center"/>
    </xf>
    <xf numFmtId="0" fontId="19" fillId="8" borderId="38" xfId="0" applyFont="1" applyFill="1" applyBorder="1" applyAlignment="1">
      <alignment horizontal="center"/>
    </xf>
    <xf numFmtId="0" fontId="19" fillId="8" borderId="39" xfId="0" applyFont="1" applyFill="1" applyBorder="1" applyAlignment="1">
      <alignment horizontal="center"/>
    </xf>
    <xf numFmtId="0" fontId="19" fillId="8" borderId="40" xfId="0" applyFont="1" applyFill="1" applyBorder="1" applyAlignment="1">
      <alignment horizontal="center"/>
    </xf>
    <xf numFmtId="0" fontId="19" fillId="9" borderId="38" xfId="0" applyFont="1" applyFill="1" applyBorder="1" applyAlignment="1">
      <alignment horizontal="center" vertical="center"/>
    </xf>
    <xf numFmtId="0" fontId="19" fillId="9" borderId="39" xfId="0" applyFont="1" applyFill="1" applyBorder="1" applyAlignment="1">
      <alignment horizontal="center" vertical="center"/>
    </xf>
    <xf numFmtId="0" fontId="19" fillId="9" borderId="40" xfId="0" applyFont="1" applyFill="1" applyBorder="1" applyAlignment="1">
      <alignment horizontal="center" vertical="center"/>
    </xf>
    <xf numFmtId="0" fontId="19" fillId="9" borderId="38" xfId="0" applyFont="1" applyFill="1" applyBorder="1" applyAlignment="1">
      <alignment horizontal="center" vertical="center" wrapText="1"/>
    </xf>
    <xf numFmtId="0" fontId="19" fillId="9" borderId="39" xfId="0" applyFont="1" applyFill="1" applyBorder="1" applyAlignment="1">
      <alignment horizontal="center" vertical="center" wrapText="1"/>
    </xf>
    <xf numFmtId="0" fontId="19" fillId="9" borderId="40" xfId="0" applyFont="1" applyFill="1" applyBorder="1" applyAlignment="1">
      <alignment horizontal="center" vertical="center" wrapText="1"/>
    </xf>
    <xf numFmtId="0" fontId="19" fillId="8" borderId="4" xfId="0" applyFont="1" applyFill="1" applyBorder="1" applyAlignment="1">
      <alignment horizontal="center"/>
    </xf>
    <xf numFmtId="0" fontId="19" fillId="8" borderId="27" xfId="0" applyFont="1" applyFill="1" applyBorder="1" applyAlignment="1">
      <alignment horizontal="center"/>
    </xf>
    <xf numFmtId="0" fontId="19" fillId="8" borderId="28" xfId="0" applyFont="1" applyFill="1" applyBorder="1" applyAlignment="1">
      <alignment horizontal="center"/>
    </xf>
    <xf numFmtId="0" fontId="19" fillId="8" borderId="18" xfId="0" applyFont="1" applyFill="1" applyBorder="1" applyAlignment="1">
      <alignment horizontal="center"/>
    </xf>
    <xf numFmtId="0" fontId="4" fillId="2" borderId="38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left"/>
    </xf>
    <xf numFmtId="0" fontId="14" fillId="0" borderId="27" xfId="0" applyFont="1" applyBorder="1" applyAlignment="1">
      <alignment horizontal="left"/>
    </xf>
    <xf numFmtId="0" fontId="14" fillId="0" borderId="28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27" xfId="0" applyFont="1" applyBorder="1" applyAlignment="1">
      <alignment horizontal="left"/>
    </xf>
    <xf numFmtId="0" fontId="6" fillId="0" borderId="28" xfId="0" applyFont="1" applyBorder="1" applyAlignment="1">
      <alignment horizontal="left"/>
    </xf>
    <xf numFmtId="0" fontId="14" fillId="4" borderId="4" xfId="0" applyFont="1" applyFill="1" applyBorder="1" applyAlignment="1">
      <alignment horizontal="left" vertical="center"/>
    </xf>
    <xf numFmtId="0" fontId="14" fillId="4" borderId="27" xfId="0" applyFont="1" applyFill="1" applyBorder="1" applyAlignment="1">
      <alignment horizontal="left" vertical="center"/>
    </xf>
    <xf numFmtId="0" fontId="14" fillId="4" borderId="28" xfId="0" applyFont="1" applyFill="1" applyBorder="1" applyAlignment="1">
      <alignment horizontal="left" vertical="center"/>
    </xf>
    <xf numFmtId="164" fontId="12" fillId="0" borderId="3" xfId="1" applyNumberFormat="1" applyFont="1" applyBorder="1" applyAlignment="1" applyProtection="1">
      <alignment horizontal="center" vertical="center"/>
    </xf>
    <xf numFmtId="0" fontId="12" fillId="0" borderId="3" xfId="1" applyFont="1" applyBorder="1" applyAlignment="1" applyProtection="1">
      <alignment horizontal="center" vertical="center" wrapText="1"/>
    </xf>
    <xf numFmtId="0" fontId="6" fillId="0" borderId="5" xfId="0" applyFont="1" applyBorder="1" applyAlignment="1">
      <alignment horizontal="center"/>
    </xf>
    <xf numFmtId="0" fontId="12" fillId="0" borderId="5" xfId="1" applyFont="1" applyBorder="1" applyAlignment="1" applyProtection="1">
      <alignment horizontal="left"/>
    </xf>
    <xf numFmtId="0" fontId="15" fillId="0" borderId="6" xfId="1" applyFont="1" applyBorder="1" applyAlignment="1" applyProtection="1">
      <alignment vertical="top" wrapText="1"/>
    </xf>
    <xf numFmtId="0" fontId="12" fillId="0" borderId="3" xfId="1" applyFont="1" applyBorder="1" applyAlignment="1" applyProtection="1">
      <alignment horizontal="center" vertical="center"/>
    </xf>
    <xf numFmtId="15" fontId="6" fillId="0" borderId="19" xfId="0" applyNumberFormat="1" applyFont="1" applyBorder="1" applyAlignment="1">
      <alignment horizontal="center"/>
    </xf>
    <xf numFmtId="15" fontId="6" fillId="0" borderId="20" xfId="0" applyNumberFormat="1" applyFont="1" applyBorder="1" applyAlignment="1">
      <alignment horizontal="center"/>
    </xf>
    <xf numFmtId="15" fontId="6" fillId="0" borderId="21" xfId="0" applyNumberFormat="1" applyFont="1" applyBorder="1" applyAlignment="1">
      <alignment horizontal="center"/>
    </xf>
    <xf numFmtId="0" fontId="12" fillId="0" borderId="19" xfId="1" applyFont="1" applyBorder="1" applyAlignment="1" applyProtection="1">
      <alignment horizontal="center" vertical="top"/>
    </xf>
    <xf numFmtId="0" fontId="12" fillId="0" borderId="20" xfId="1" applyFont="1" applyBorder="1" applyAlignment="1" applyProtection="1">
      <alignment horizontal="center" vertical="top"/>
    </xf>
    <xf numFmtId="0" fontId="12" fillId="0" borderId="21" xfId="1" applyFont="1" applyBorder="1" applyAlignment="1" applyProtection="1">
      <alignment horizontal="center" vertical="top"/>
    </xf>
    <xf numFmtId="0" fontId="14" fillId="0" borderId="19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7" fillId="0" borderId="0" xfId="1" applyFont="1" applyBorder="1" applyAlignment="1" applyProtection="1">
      <alignment horizontal="center"/>
    </xf>
    <xf numFmtId="0" fontId="12" fillId="0" borderId="5" xfId="1" applyFont="1" applyBorder="1" applyAlignment="1" applyProtection="1">
      <alignment horizontal="center"/>
    </xf>
  </cellXfs>
  <cellStyles count="4">
    <cellStyle name="Normal" xfId="0" builtinId="0"/>
    <cellStyle name="Normal 10" xfId="1" xr:uid="{00000000-0005-0000-0000-000001000000}"/>
    <cellStyle name="Normal_Sheet1" xfId="3" xr:uid="{00000000-0005-0000-0000-000002000000}"/>
    <cellStyle name="Percent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27708</xdr:rowOff>
    </xdr:from>
    <xdr:to>
      <xdr:col>2</xdr:col>
      <xdr:colOff>1022693</xdr:colOff>
      <xdr:row>40</xdr:row>
      <xdr:rowOff>360496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35D6A0-47E9-4551-914D-E4C80860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9090"/>
          <a:ext cx="6592220" cy="82021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</xdr:col>
      <xdr:colOff>2723511</xdr:colOff>
      <xdr:row>44</xdr:row>
      <xdr:rowOff>29077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9011B2-EF3F-A113-5569-BF24C63D2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5400"/>
          <a:ext cx="5172797" cy="81831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4</xdr:row>
      <xdr:rowOff>205740</xdr:rowOff>
    </xdr:from>
    <xdr:to>
      <xdr:col>0</xdr:col>
      <xdr:colOff>2187243</xdr:colOff>
      <xdr:row>9</xdr:row>
      <xdr:rowOff>3374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3282BA-47CC-3A85-8551-BEDB61AF6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059180"/>
          <a:ext cx="2172003" cy="8859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5</xdr:col>
      <xdr:colOff>370643</xdr:colOff>
      <xdr:row>32</xdr:row>
      <xdr:rowOff>51163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7C7768-7134-5B8B-7449-F3CF4E7C7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0160"/>
          <a:ext cx="7841764" cy="58597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13</xdr:col>
      <xdr:colOff>928254</xdr:colOff>
      <xdr:row>41</xdr:row>
      <xdr:rowOff>12740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78962E-4624-48BD-94F8-6F3A99CF1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6618" y="1039091"/>
          <a:ext cx="14408727" cy="749419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55419</xdr:colOff>
      <xdr:row>5</xdr:row>
      <xdr:rowOff>30709</xdr:rowOff>
    </xdr:from>
    <xdr:to>
      <xdr:col>2</xdr:col>
      <xdr:colOff>3962401</xdr:colOff>
      <xdr:row>30</xdr:row>
      <xdr:rowOff>137300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5BB019-4A40-4579-8892-FF67EF580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19" y="1069800"/>
          <a:ext cx="10293927" cy="530204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143455</xdr:rowOff>
    </xdr:from>
    <xdr:to>
      <xdr:col>4</xdr:col>
      <xdr:colOff>990600</xdr:colOff>
      <xdr:row>23</xdr:row>
      <xdr:rowOff>14903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08AD34-DE97-4A72-9BE0-AEF740026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4312"/>
          <a:ext cx="7663543" cy="40080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DoAnBaoVe2018/DoAnNam2018/BUSMAP-PROJECT/6.%20Testing/Test%20Case/(BMS)Test%20case-Sprint%201-ver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min_Test_Case_List"/>
      <sheetName val="Test_Report"/>
      <sheetName val="Home page"/>
      <sheetName val="Home page-Test"/>
      <sheetName val="Show Bus Routes List"/>
      <sheetName val="Show Bus Routes List-Test"/>
      <sheetName val="Show Bus Stops List"/>
      <sheetName val="Show Bus Stops List-Test"/>
      <sheetName val="Display Bus Route on the Map"/>
      <sheetName val="Display Bus Route on the Map-Te"/>
      <sheetName val="Home Page(App)"/>
      <sheetName val="Show Bus Routes List(App)"/>
      <sheetName val="Show Bus Stops List(App)"/>
      <sheetName val="Display Bus Route on the Map(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5" refreshError="1"/>
      <sheetData sheetId="6" refreshError="1">
        <row r="5">
          <cell r="B5">
            <v>27</v>
          </cell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B11" sqref="B11"/>
    </sheetView>
  </sheetViews>
  <sheetFormatPr defaultColWidth="9.109375" defaultRowHeight="16.8"/>
  <cols>
    <col min="1" max="1" width="42.5546875" style="8" customWidth="1"/>
    <col min="2" max="2" width="37.33203125" style="8" customWidth="1"/>
    <col min="3" max="3" width="39.109375" style="8" customWidth="1"/>
    <col min="4" max="4" width="43.109375" style="8" customWidth="1"/>
    <col min="5" max="16384" width="9.109375" style="8"/>
  </cols>
  <sheetData>
    <row r="1" spans="1:4" ht="16.5" customHeight="1">
      <c r="A1" s="136" t="s">
        <v>59</v>
      </c>
      <c r="B1" s="137"/>
      <c r="C1" s="137"/>
      <c r="D1" s="138"/>
    </row>
    <row r="2" spans="1:4" ht="19.5" customHeight="1">
      <c r="A2" s="139"/>
      <c r="B2" s="140"/>
      <c r="C2" s="140"/>
      <c r="D2" s="141"/>
    </row>
    <row r="3" spans="1:4" ht="33.75" customHeight="1">
      <c r="A3" s="77" t="s">
        <v>13</v>
      </c>
      <c r="B3" s="142" t="s">
        <v>119</v>
      </c>
      <c r="C3" s="143"/>
      <c r="D3" s="144"/>
    </row>
    <row r="4" spans="1:4">
      <c r="A4" s="88" t="s">
        <v>11</v>
      </c>
      <c r="B4" s="88" t="s">
        <v>10</v>
      </c>
      <c r="C4" s="88" t="s">
        <v>1</v>
      </c>
      <c r="D4" s="88" t="s">
        <v>12</v>
      </c>
    </row>
    <row r="5" spans="1:4">
      <c r="A5" s="89">
        <v>1</v>
      </c>
      <c r="B5" s="90" t="s">
        <v>39</v>
      </c>
      <c r="C5" s="90" t="s">
        <v>39</v>
      </c>
      <c r="D5" s="91"/>
    </row>
    <row r="6" spans="1:4" ht="23.25" customHeight="1">
      <c r="A6" s="76">
        <v>2</v>
      </c>
      <c r="B6" s="78" t="s">
        <v>61</v>
      </c>
      <c r="C6" s="78" t="s">
        <v>61</v>
      </c>
      <c r="D6" s="87"/>
    </row>
    <row r="7" spans="1:4" ht="22.5" customHeight="1">
      <c r="A7" s="76">
        <v>3</v>
      </c>
      <c r="B7" s="87" t="s">
        <v>69</v>
      </c>
      <c r="C7" s="78" t="s">
        <v>69</v>
      </c>
      <c r="D7" s="87"/>
    </row>
    <row r="8" spans="1:4" ht="21.75" customHeight="1">
      <c r="A8" s="76">
        <v>4</v>
      </c>
      <c r="B8" s="78" t="s">
        <v>67</v>
      </c>
      <c r="C8" s="78" t="s">
        <v>67</v>
      </c>
      <c r="D8" s="87"/>
    </row>
    <row r="9" spans="1:4">
      <c r="A9" s="76">
        <v>5</v>
      </c>
      <c r="B9" s="92" t="s">
        <v>70</v>
      </c>
      <c r="C9" s="92" t="s">
        <v>70</v>
      </c>
      <c r="D9" s="87"/>
    </row>
    <row r="10" spans="1:4">
      <c r="A10" s="76">
        <v>6</v>
      </c>
      <c r="B10" s="87" t="s">
        <v>68</v>
      </c>
      <c r="C10" s="87" t="s">
        <v>68</v>
      </c>
      <c r="D10" s="87"/>
    </row>
    <row r="11" spans="1:4">
      <c r="A11" s="76">
        <v>7</v>
      </c>
      <c r="B11" s="87" t="s">
        <v>71</v>
      </c>
      <c r="C11" s="87" t="s">
        <v>71</v>
      </c>
      <c r="D11" s="87"/>
    </row>
  </sheetData>
  <mergeCells count="2">
    <mergeCell ref="A1:D2"/>
    <mergeCell ref="B3:D3"/>
  </mergeCells>
  <pageMargins left="0.7" right="0.7" top="0.75" bottom="0.75" header="0.3" footer="0.3"/>
  <pageSetup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5"/>
  <sheetViews>
    <sheetView topLeftCell="F40" zoomScale="55" zoomScaleNormal="55" workbookViewId="0">
      <selection activeCell="I69" sqref="I69"/>
    </sheetView>
  </sheetViews>
  <sheetFormatPr defaultColWidth="9.109375" defaultRowHeight="14.4"/>
  <cols>
    <col min="1" max="1" width="23.88671875" customWidth="1"/>
    <col min="2" max="2" width="57.44140625" bestFit="1" customWidth="1"/>
    <col min="3" max="3" width="68.33203125" bestFit="1" customWidth="1"/>
    <col min="4" max="4" width="53.88671875" bestFit="1" customWidth="1"/>
    <col min="5" max="5" width="45.6640625" bestFit="1" customWidth="1"/>
    <col min="6" max="6" width="26.33203125" customWidth="1"/>
    <col min="7" max="7" width="18.109375" customWidth="1"/>
    <col min="8" max="9" width="18.6640625" customWidth="1"/>
    <col min="10" max="10" width="18.44140625" customWidth="1"/>
    <col min="11" max="11" width="16.5546875" bestFit="1" customWidth="1"/>
    <col min="12" max="12" width="10.5546875" bestFit="1" customWidth="1"/>
  </cols>
  <sheetData>
    <row r="1" spans="1:6" ht="15.75" customHeight="1">
      <c r="A1" s="81" t="s">
        <v>0</v>
      </c>
      <c r="B1" s="145" t="s">
        <v>119</v>
      </c>
      <c r="C1" s="145"/>
      <c r="D1" s="145"/>
      <c r="E1" s="145"/>
      <c r="F1" s="145"/>
    </row>
    <row r="2" spans="1:6" ht="15.75" customHeight="1">
      <c r="A2" s="81" t="s">
        <v>5</v>
      </c>
      <c r="B2" s="146" t="s">
        <v>63</v>
      </c>
      <c r="C2" s="146"/>
      <c r="D2" s="146"/>
      <c r="E2" s="146"/>
      <c r="F2" s="146"/>
    </row>
    <row r="3" spans="1:6" ht="16.8">
      <c r="A3" s="69"/>
      <c r="B3" s="82" t="s">
        <v>23</v>
      </c>
      <c r="C3" s="82" t="s">
        <v>24</v>
      </c>
      <c r="D3" s="82" t="s">
        <v>33</v>
      </c>
      <c r="E3" s="83" t="s">
        <v>25</v>
      </c>
      <c r="F3" s="82" t="s">
        <v>43</v>
      </c>
    </row>
    <row r="4" spans="1:6" ht="16.8">
      <c r="A4" s="70" t="s">
        <v>3</v>
      </c>
      <c r="B4" s="69">
        <v>12</v>
      </c>
      <c r="C4" s="69">
        <v>3</v>
      </c>
      <c r="D4" s="69">
        <v>0</v>
      </c>
      <c r="E4" s="69">
        <v>0</v>
      </c>
      <c r="F4" s="69">
        <v>12</v>
      </c>
    </row>
    <row r="5" spans="1:6" ht="16.8">
      <c r="A5" s="70" t="s">
        <v>4</v>
      </c>
      <c r="B5" s="69">
        <v>12</v>
      </c>
      <c r="C5" s="69">
        <v>3</v>
      </c>
      <c r="D5" s="69">
        <v>0</v>
      </c>
      <c r="E5" s="71">
        <v>0</v>
      </c>
      <c r="F5" s="69">
        <v>12</v>
      </c>
    </row>
    <row r="6" spans="1:6" ht="198" customHeight="1"/>
    <row r="7" spans="1:6" ht="275.25" customHeight="1"/>
    <row r="8" spans="1:6" hidden="1"/>
    <row r="9" spans="1:6" hidden="1"/>
    <row r="10" spans="1:6" hidden="1"/>
    <row r="11" spans="1:6" hidden="1"/>
    <row r="12" spans="1:6" hidden="1"/>
    <row r="13" spans="1:6" hidden="1"/>
    <row r="14" spans="1:6" hidden="1"/>
    <row r="15" spans="1:6" hidden="1"/>
    <row r="16" spans="1: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4" spans="1:13" ht="17.25" customHeight="1"/>
    <row r="40" spans="1:13" ht="16.8">
      <c r="M40" s="68"/>
    </row>
    <row r="41" spans="1:13" ht="31.95" customHeight="1"/>
    <row r="42" spans="1:13" ht="51" customHeight="1">
      <c r="A42" s="147" t="s">
        <v>6</v>
      </c>
      <c r="B42" s="147" t="s">
        <v>12</v>
      </c>
      <c r="C42" s="147" t="s">
        <v>40</v>
      </c>
      <c r="D42" s="148" t="s">
        <v>41</v>
      </c>
      <c r="E42" s="147" t="s">
        <v>42</v>
      </c>
      <c r="F42" s="149" t="s">
        <v>34</v>
      </c>
      <c r="G42" s="149"/>
      <c r="H42" s="149"/>
      <c r="I42" s="149"/>
      <c r="J42" s="149"/>
      <c r="K42" s="149"/>
      <c r="L42" s="149" t="s">
        <v>35</v>
      </c>
    </row>
    <row r="43" spans="1:13" ht="17.399999999999999">
      <c r="A43" s="147"/>
      <c r="B43" s="147"/>
      <c r="C43" s="147"/>
      <c r="D43" s="148"/>
      <c r="E43" s="147"/>
      <c r="F43" s="149" t="s">
        <v>15</v>
      </c>
      <c r="G43" s="149"/>
      <c r="H43" s="149"/>
      <c r="I43" s="149" t="s">
        <v>16</v>
      </c>
      <c r="J43" s="149"/>
      <c r="K43" s="149"/>
      <c r="L43" s="149"/>
    </row>
    <row r="44" spans="1:13" ht="16.8">
      <c r="A44" s="147"/>
      <c r="B44" s="147"/>
      <c r="C44" s="147"/>
      <c r="D44" s="148"/>
      <c r="E44" s="147"/>
      <c r="F44" s="79" t="s">
        <v>36</v>
      </c>
      <c r="G44" s="80" t="s">
        <v>37</v>
      </c>
      <c r="H44" s="79" t="s">
        <v>38</v>
      </c>
      <c r="I44" s="79" t="s">
        <v>36</v>
      </c>
      <c r="J44" s="79" t="s">
        <v>37</v>
      </c>
      <c r="K44" s="79" t="s">
        <v>38</v>
      </c>
      <c r="L44" s="149"/>
    </row>
    <row r="45" spans="1:13" ht="16.8">
      <c r="A45" s="150" t="s">
        <v>65</v>
      </c>
      <c r="B45" s="151"/>
      <c r="C45" s="151"/>
      <c r="D45" s="151"/>
      <c r="E45" s="151"/>
      <c r="F45" s="151"/>
      <c r="G45" s="152"/>
      <c r="H45" s="151"/>
      <c r="I45" s="151"/>
      <c r="J45" s="151"/>
      <c r="K45" s="151"/>
      <c r="L45" s="153"/>
    </row>
    <row r="46" spans="1:13" ht="17.399999999999999">
      <c r="A46" s="72" t="s">
        <v>46</v>
      </c>
      <c r="B46" s="69" t="s">
        <v>74</v>
      </c>
      <c r="C46" s="69" t="s">
        <v>79</v>
      </c>
      <c r="D46" s="69" t="s">
        <v>84</v>
      </c>
      <c r="E46" s="69" t="s">
        <v>84</v>
      </c>
      <c r="F46" s="124" t="s">
        <v>2</v>
      </c>
      <c r="G46" s="129">
        <v>45971</v>
      </c>
      <c r="H46" s="125" t="s">
        <v>72</v>
      </c>
      <c r="I46" s="124" t="s">
        <v>2</v>
      </c>
      <c r="J46" s="126">
        <v>46001</v>
      </c>
      <c r="K46" s="125" t="s">
        <v>73</v>
      </c>
      <c r="L46" s="75"/>
    </row>
    <row r="47" spans="1:13" ht="17.399999999999999">
      <c r="A47" s="72" t="s">
        <v>47</v>
      </c>
      <c r="B47" s="69" t="s">
        <v>75</v>
      </c>
      <c r="C47" s="69" t="s">
        <v>80</v>
      </c>
      <c r="D47" s="69" t="s">
        <v>85</v>
      </c>
      <c r="E47" s="69" t="s">
        <v>85</v>
      </c>
      <c r="F47" s="124" t="s">
        <v>2</v>
      </c>
      <c r="G47" s="129">
        <v>45971</v>
      </c>
      <c r="H47" s="125" t="s">
        <v>72</v>
      </c>
      <c r="I47" s="124" t="s">
        <v>2</v>
      </c>
      <c r="J47" s="126">
        <v>46001</v>
      </c>
      <c r="K47" s="125" t="s">
        <v>73</v>
      </c>
      <c r="L47" s="75"/>
    </row>
    <row r="48" spans="1:13" ht="17.399999999999999">
      <c r="A48" s="72" t="s">
        <v>48</v>
      </c>
      <c r="B48" s="69" t="s">
        <v>76</v>
      </c>
      <c r="C48" s="69" t="s">
        <v>81</v>
      </c>
      <c r="D48" s="69" t="s">
        <v>86</v>
      </c>
      <c r="E48" s="69" t="s">
        <v>86</v>
      </c>
      <c r="F48" s="124" t="s">
        <v>2</v>
      </c>
      <c r="G48" s="129">
        <v>45971</v>
      </c>
      <c r="H48" s="125" t="s">
        <v>72</v>
      </c>
      <c r="I48" s="124" t="s">
        <v>2</v>
      </c>
      <c r="J48" s="126">
        <v>46001</v>
      </c>
      <c r="K48" s="125" t="s">
        <v>73</v>
      </c>
      <c r="L48" s="75"/>
    </row>
    <row r="49" spans="1:12" ht="17.399999999999999">
      <c r="A49" s="72" t="s">
        <v>60</v>
      </c>
      <c r="B49" s="69" t="s">
        <v>77</v>
      </c>
      <c r="C49" s="69" t="s">
        <v>82</v>
      </c>
      <c r="D49" s="69" t="s">
        <v>87</v>
      </c>
      <c r="E49" s="69" t="s">
        <v>87</v>
      </c>
      <c r="F49" s="124" t="s">
        <v>2</v>
      </c>
      <c r="G49" s="129">
        <v>45971</v>
      </c>
      <c r="H49" s="125" t="s">
        <v>72</v>
      </c>
      <c r="I49" s="124" t="s">
        <v>2</v>
      </c>
      <c r="J49" s="126">
        <v>46001</v>
      </c>
      <c r="K49" s="125" t="s">
        <v>73</v>
      </c>
      <c r="L49" s="75"/>
    </row>
    <row r="50" spans="1:12" ht="17.399999999999999">
      <c r="A50" s="72" t="s">
        <v>62</v>
      </c>
      <c r="B50" s="69" t="s">
        <v>78</v>
      </c>
      <c r="C50" s="69" t="s">
        <v>83</v>
      </c>
      <c r="D50" s="69" t="s">
        <v>87</v>
      </c>
      <c r="E50" s="69" t="s">
        <v>87</v>
      </c>
      <c r="F50" s="124" t="s">
        <v>2</v>
      </c>
      <c r="G50" s="129">
        <v>45971</v>
      </c>
      <c r="H50" s="125" t="s">
        <v>72</v>
      </c>
      <c r="I50" s="124" t="s">
        <v>2</v>
      </c>
      <c r="J50" s="126">
        <v>46001</v>
      </c>
      <c r="K50" s="125" t="s">
        <v>73</v>
      </c>
      <c r="L50" s="75"/>
    </row>
    <row r="51" spans="1:12" ht="16.8">
      <c r="A51" s="84" t="s">
        <v>66</v>
      </c>
      <c r="B51" s="85"/>
      <c r="C51" s="85"/>
      <c r="D51" s="85"/>
      <c r="E51" s="85"/>
      <c r="F51" s="85"/>
      <c r="G51" s="129">
        <v>45971</v>
      </c>
      <c r="H51" s="85"/>
      <c r="I51" s="85"/>
      <c r="J51" s="126">
        <v>46001</v>
      </c>
      <c r="K51" s="85"/>
      <c r="L51" s="86"/>
    </row>
    <row r="52" spans="1:12" ht="33.6">
      <c r="A52" s="69" t="s">
        <v>88</v>
      </c>
      <c r="B52" s="69" t="s">
        <v>95</v>
      </c>
      <c r="C52" s="69" t="s">
        <v>102</v>
      </c>
      <c r="D52" s="69" t="s">
        <v>109</v>
      </c>
      <c r="E52" s="73" t="s">
        <v>64</v>
      </c>
      <c r="F52" s="127" t="s">
        <v>2</v>
      </c>
      <c r="G52" s="129">
        <v>45971</v>
      </c>
      <c r="H52" s="125" t="s">
        <v>72</v>
      </c>
      <c r="I52" s="124" t="s">
        <v>2</v>
      </c>
      <c r="J52" s="126">
        <v>46001</v>
      </c>
      <c r="K52" s="125" t="s">
        <v>73</v>
      </c>
      <c r="L52" s="69"/>
    </row>
    <row r="53" spans="1:12" ht="16.8">
      <c r="A53" s="69" t="s">
        <v>89</v>
      </c>
      <c r="B53" s="69" t="s">
        <v>96</v>
      </c>
      <c r="C53" s="69" t="s">
        <v>103</v>
      </c>
      <c r="D53" s="69" t="s">
        <v>114</v>
      </c>
      <c r="E53" s="73" t="s">
        <v>116</v>
      </c>
      <c r="F53" s="127" t="s">
        <v>2</v>
      </c>
      <c r="G53" s="129">
        <v>45971</v>
      </c>
      <c r="H53" s="125" t="s">
        <v>72</v>
      </c>
      <c r="I53" s="124" t="s">
        <v>2</v>
      </c>
      <c r="J53" s="126">
        <v>46001</v>
      </c>
      <c r="K53" s="125" t="s">
        <v>73</v>
      </c>
      <c r="L53" s="69"/>
    </row>
    <row r="54" spans="1:12" ht="33.6">
      <c r="A54" s="69" t="s">
        <v>90</v>
      </c>
      <c r="B54" s="69" t="s">
        <v>97</v>
      </c>
      <c r="C54" s="69" t="s">
        <v>104</v>
      </c>
      <c r="D54" s="69" t="s">
        <v>114</v>
      </c>
      <c r="E54" s="73" t="s">
        <v>115</v>
      </c>
      <c r="F54" s="127" t="s">
        <v>2</v>
      </c>
      <c r="G54" s="129">
        <v>45971</v>
      </c>
      <c r="H54" s="125" t="s">
        <v>72</v>
      </c>
      <c r="I54" s="124" t="s">
        <v>2</v>
      </c>
      <c r="J54" s="126">
        <v>46001</v>
      </c>
      <c r="K54" s="125" t="s">
        <v>73</v>
      </c>
      <c r="L54" s="69"/>
    </row>
    <row r="55" spans="1:12" ht="16.8">
      <c r="A55" s="69" t="s">
        <v>91</v>
      </c>
      <c r="B55" s="69" t="s">
        <v>98</v>
      </c>
      <c r="C55" s="69" t="s">
        <v>105</v>
      </c>
      <c r="D55" s="69" t="s">
        <v>110</v>
      </c>
      <c r="E55" s="73" t="s">
        <v>116</v>
      </c>
      <c r="F55" s="127" t="s">
        <v>2</v>
      </c>
      <c r="G55" s="129">
        <v>45971</v>
      </c>
      <c r="H55" s="125" t="s">
        <v>72</v>
      </c>
      <c r="I55" s="124" t="s">
        <v>2</v>
      </c>
      <c r="J55" s="126">
        <v>46001</v>
      </c>
      <c r="K55" s="125" t="s">
        <v>73</v>
      </c>
      <c r="L55" s="69"/>
    </row>
    <row r="56" spans="1:12" ht="16.8">
      <c r="A56" s="69" t="s">
        <v>92</v>
      </c>
      <c r="B56" s="69" t="s">
        <v>99</v>
      </c>
      <c r="C56" s="69" t="s">
        <v>106</v>
      </c>
      <c r="D56" s="69" t="s">
        <v>111</v>
      </c>
      <c r="E56" s="8" t="s">
        <v>384</v>
      </c>
      <c r="F56" s="127" t="s">
        <v>170</v>
      </c>
      <c r="G56" s="129">
        <v>45971</v>
      </c>
      <c r="H56" s="125" t="s">
        <v>72</v>
      </c>
      <c r="I56" s="124" t="s">
        <v>170</v>
      </c>
      <c r="J56" s="126">
        <v>46001</v>
      </c>
      <c r="K56" s="125" t="s">
        <v>73</v>
      </c>
      <c r="L56" s="69"/>
    </row>
    <row r="57" spans="1:12" ht="16.8">
      <c r="A57" s="69" t="s">
        <v>93</v>
      </c>
      <c r="B57" s="69" t="s">
        <v>100</v>
      </c>
      <c r="C57" s="69" t="s">
        <v>107</v>
      </c>
      <c r="D57" s="69" t="s">
        <v>112</v>
      </c>
      <c r="E57" s="69" t="s">
        <v>118</v>
      </c>
      <c r="F57" s="128" t="s">
        <v>117</v>
      </c>
      <c r="G57" s="129">
        <v>45971</v>
      </c>
      <c r="H57" s="125" t="s">
        <v>72</v>
      </c>
      <c r="I57" s="124" t="s">
        <v>170</v>
      </c>
      <c r="J57" s="126">
        <v>46001</v>
      </c>
      <c r="K57" s="125" t="s">
        <v>73</v>
      </c>
      <c r="L57" s="69"/>
    </row>
    <row r="58" spans="1:12" ht="16.8">
      <c r="A58" s="69" t="s">
        <v>94</v>
      </c>
      <c r="B58" s="69" t="s">
        <v>101</v>
      </c>
      <c r="C58" s="69" t="s">
        <v>108</v>
      </c>
      <c r="D58" s="69" t="s">
        <v>113</v>
      </c>
      <c r="E58" s="69" t="s">
        <v>118</v>
      </c>
      <c r="F58" s="128" t="s">
        <v>117</v>
      </c>
      <c r="G58" s="129">
        <v>45971</v>
      </c>
      <c r="H58" s="125" t="s">
        <v>72</v>
      </c>
      <c r="I58" s="124" t="s">
        <v>170</v>
      </c>
      <c r="J58" s="126">
        <v>46001</v>
      </c>
      <c r="K58" s="125" t="s">
        <v>73</v>
      </c>
      <c r="L58" s="69"/>
    </row>
    <row r="65" spans="10:10" ht="16.8">
      <c r="J65" s="123"/>
    </row>
  </sheetData>
  <mergeCells count="12">
    <mergeCell ref="L42:L44"/>
    <mergeCell ref="F43:H43"/>
    <mergeCell ref="F42:K42"/>
    <mergeCell ref="I43:K43"/>
    <mergeCell ref="A45:L45"/>
    <mergeCell ref="B1:F1"/>
    <mergeCell ref="B2:F2"/>
    <mergeCell ref="A42:A44"/>
    <mergeCell ref="B42:B44"/>
    <mergeCell ref="C42:C44"/>
    <mergeCell ref="D42:D44"/>
    <mergeCell ref="E42:E44"/>
  </mergeCells>
  <dataValidations count="1">
    <dataValidation type="list" operator="equal" allowBlank="1" showErrorMessage="1" promptTitle="dfdf" sqref="F52:F56 F46:F50 I52:I58 I46:I50" xr:uid="{00000000-0002-0000-0100-000000000000}">
      <formula1>"Passed,Untested,Failed,Blocked"</formula1>
      <formula2>0</formula2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4"/>
  <sheetViews>
    <sheetView topLeftCell="F47" zoomScale="70" zoomScaleNormal="70" workbookViewId="0">
      <selection activeCell="J69" sqref="J69"/>
    </sheetView>
  </sheetViews>
  <sheetFormatPr defaultColWidth="8.88671875" defaultRowHeight="16.8"/>
  <cols>
    <col min="1" max="1" width="35.6640625" style="8" bestFit="1" customWidth="1"/>
    <col min="2" max="2" width="57.33203125" style="8" bestFit="1" customWidth="1"/>
    <col min="3" max="3" width="67.44140625" style="8" bestFit="1" customWidth="1"/>
    <col min="4" max="4" width="63.33203125" style="8" bestFit="1" customWidth="1"/>
    <col min="5" max="5" width="45.33203125" style="8" bestFit="1" customWidth="1"/>
    <col min="6" max="6" width="20" style="8" bestFit="1" customWidth="1"/>
    <col min="7" max="7" width="15.88671875" style="8" bestFit="1" customWidth="1"/>
    <col min="8" max="8" width="17" style="8" bestFit="1" customWidth="1"/>
    <col min="9" max="9" width="12.109375" style="8" bestFit="1" customWidth="1"/>
    <col min="10" max="10" width="15.88671875" style="8" bestFit="1" customWidth="1"/>
    <col min="11" max="11" width="17" style="8" bestFit="1" customWidth="1"/>
    <col min="12" max="12" width="10.6640625" style="8" bestFit="1" customWidth="1"/>
    <col min="13" max="16384" width="8.88671875" style="8"/>
  </cols>
  <sheetData>
    <row r="1" spans="1:6">
      <c r="A1" s="81" t="s">
        <v>0</v>
      </c>
      <c r="B1" s="145" t="s">
        <v>119</v>
      </c>
      <c r="C1" s="145"/>
      <c r="D1" s="145"/>
      <c r="E1" s="145"/>
      <c r="F1" s="145"/>
    </row>
    <row r="2" spans="1:6">
      <c r="A2" s="81" t="s">
        <v>5</v>
      </c>
      <c r="B2" s="146" t="s">
        <v>120</v>
      </c>
      <c r="C2" s="146"/>
      <c r="D2" s="146"/>
      <c r="E2" s="146"/>
      <c r="F2" s="146"/>
    </row>
    <row r="3" spans="1:6">
      <c r="A3" s="69"/>
      <c r="B3" s="82" t="s">
        <v>23</v>
      </c>
      <c r="C3" s="82" t="s">
        <v>24</v>
      </c>
      <c r="D3" s="82" t="s">
        <v>33</v>
      </c>
      <c r="E3" s="83" t="s">
        <v>25</v>
      </c>
      <c r="F3" s="82" t="s">
        <v>43</v>
      </c>
    </row>
    <row r="4" spans="1:6">
      <c r="A4" s="70" t="s">
        <v>3</v>
      </c>
      <c r="B4" s="69">
        <v>15</v>
      </c>
      <c r="C4" s="69">
        <v>2</v>
      </c>
      <c r="D4" s="69">
        <v>0</v>
      </c>
      <c r="E4" s="69">
        <v>0</v>
      </c>
      <c r="F4" s="69">
        <v>15</v>
      </c>
    </row>
    <row r="5" spans="1:6">
      <c r="A5" s="70" t="s">
        <v>4</v>
      </c>
      <c r="B5" s="69">
        <v>15</v>
      </c>
      <c r="C5" s="69">
        <v>2</v>
      </c>
      <c r="D5" s="69">
        <v>0</v>
      </c>
      <c r="E5" s="71">
        <v>0</v>
      </c>
      <c r="F5" s="69">
        <v>15</v>
      </c>
    </row>
    <row r="45" spans="1:12">
      <c r="A45" s="157" t="s">
        <v>6</v>
      </c>
      <c r="B45" s="157" t="s">
        <v>12</v>
      </c>
      <c r="C45" s="157" t="s">
        <v>40</v>
      </c>
      <c r="D45" s="160" t="s">
        <v>41</v>
      </c>
      <c r="E45" s="93" t="s">
        <v>42</v>
      </c>
      <c r="F45" s="163" t="s">
        <v>34</v>
      </c>
      <c r="G45" s="164"/>
      <c r="H45" s="164"/>
      <c r="I45" s="164"/>
      <c r="J45" s="164"/>
      <c r="K45" s="165"/>
      <c r="L45" s="154" t="s">
        <v>35</v>
      </c>
    </row>
    <row r="46" spans="1:12">
      <c r="A46" s="158"/>
      <c r="B46" s="158"/>
      <c r="C46" s="158"/>
      <c r="D46" s="161"/>
      <c r="E46" s="93"/>
      <c r="F46" s="163" t="s">
        <v>15</v>
      </c>
      <c r="G46" s="164"/>
      <c r="H46" s="165"/>
      <c r="I46" s="163" t="s">
        <v>16</v>
      </c>
      <c r="J46" s="164"/>
      <c r="K46" s="165"/>
      <c r="L46" s="155"/>
    </row>
    <row r="47" spans="1:12">
      <c r="A47" s="159"/>
      <c r="B47" s="159"/>
      <c r="C47" s="159"/>
      <c r="D47" s="162"/>
      <c r="E47" s="93"/>
      <c r="F47" s="93" t="s">
        <v>36</v>
      </c>
      <c r="G47" s="80" t="s">
        <v>37</v>
      </c>
      <c r="H47" s="93" t="s">
        <v>38</v>
      </c>
      <c r="I47" s="93" t="s">
        <v>36</v>
      </c>
      <c r="J47" s="93" t="s">
        <v>37</v>
      </c>
      <c r="K47" s="93" t="s">
        <v>38</v>
      </c>
      <c r="L47" s="156"/>
    </row>
    <row r="48" spans="1:12">
      <c r="A48" s="94" t="s">
        <v>406</v>
      </c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6"/>
    </row>
    <row r="49" spans="1:12">
      <c r="A49" s="118" t="s">
        <v>407</v>
      </c>
      <c r="B49" s="118" t="s">
        <v>408</v>
      </c>
      <c r="C49" s="118" t="s">
        <v>409</v>
      </c>
      <c r="D49" s="118" t="s">
        <v>422</v>
      </c>
      <c r="E49" s="118" t="s">
        <v>422</v>
      </c>
      <c r="F49" s="74" t="s">
        <v>2</v>
      </c>
      <c r="G49" s="131" t="s">
        <v>523</v>
      </c>
      <c r="H49" s="74" t="s">
        <v>73</v>
      </c>
      <c r="I49" s="124" t="s">
        <v>2</v>
      </c>
      <c r="J49" s="131" t="s">
        <v>524</v>
      </c>
      <c r="K49" s="125" t="s">
        <v>72</v>
      </c>
      <c r="L49" s="69"/>
    </row>
    <row r="50" spans="1:12" ht="50.4">
      <c r="A50" s="118" t="s">
        <v>410</v>
      </c>
      <c r="B50" s="118" t="s">
        <v>411</v>
      </c>
      <c r="C50" s="118" t="s">
        <v>412</v>
      </c>
      <c r="D50" s="118" t="s">
        <v>413</v>
      </c>
      <c r="E50" s="118" t="s">
        <v>413</v>
      </c>
      <c r="F50" s="74" t="s">
        <v>2</v>
      </c>
      <c r="G50" s="132" t="s">
        <v>523</v>
      </c>
      <c r="H50" s="74" t="s">
        <v>73</v>
      </c>
      <c r="I50" s="124" t="s">
        <v>2</v>
      </c>
      <c r="J50" s="131" t="s">
        <v>524</v>
      </c>
      <c r="K50" s="125" t="s">
        <v>72</v>
      </c>
      <c r="L50" s="69"/>
    </row>
    <row r="51" spans="1:12" ht="33.6">
      <c r="A51" s="118" t="s">
        <v>414</v>
      </c>
      <c r="B51" s="118" t="s">
        <v>415</v>
      </c>
      <c r="C51" s="118" t="s">
        <v>412</v>
      </c>
      <c r="D51" s="118" t="s">
        <v>423</v>
      </c>
      <c r="E51" s="118" t="s">
        <v>423</v>
      </c>
      <c r="F51" s="74" t="s">
        <v>2</v>
      </c>
      <c r="G51" s="132" t="s">
        <v>523</v>
      </c>
      <c r="H51" s="74" t="s">
        <v>73</v>
      </c>
      <c r="I51" s="124" t="s">
        <v>2</v>
      </c>
      <c r="J51" s="131" t="s">
        <v>524</v>
      </c>
      <c r="K51" s="125" t="s">
        <v>72</v>
      </c>
      <c r="L51" s="69"/>
    </row>
    <row r="52" spans="1:12">
      <c r="A52" s="118" t="s">
        <v>416</v>
      </c>
      <c r="B52" s="118" t="s">
        <v>417</v>
      </c>
      <c r="C52" s="118" t="s">
        <v>412</v>
      </c>
      <c r="D52" s="118" t="s">
        <v>424</v>
      </c>
      <c r="E52" s="118" t="s">
        <v>424</v>
      </c>
      <c r="F52" s="74" t="s">
        <v>2</v>
      </c>
      <c r="G52" s="132" t="s">
        <v>523</v>
      </c>
      <c r="H52" s="74" t="s">
        <v>73</v>
      </c>
      <c r="I52" s="124" t="s">
        <v>2</v>
      </c>
      <c r="J52" s="131" t="s">
        <v>524</v>
      </c>
      <c r="K52" s="125" t="s">
        <v>72</v>
      </c>
      <c r="L52" s="69"/>
    </row>
    <row r="53" spans="1:12" ht="33.6">
      <c r="A53" s="118" t="s">
        <v>418</v>
      </c>
      <c r="B53" s="118" t="s">
        <v>419</v>
      </c>
      <c r="C53" s="118" t="s">
        <v>420</v>
      </c>
      <c r="D53" s="118" t="s">
        <v>421</v>
      </c>
      <c r="E53" s="118" t="s">
        <v>421</v>
      </c>
      <c r="F53" s="74" t="s">
        <v>2</v>
      </c>
      <c r="G53" s="132" t="s">
        <v>523</v>
      </c>
      <c r="H53" s="74" t="s">
        <v>73</v>
      </c>
      <c r="I53" s="124" t="s">
        <v>2</v>
      </c>
      <c r="J53" s="131" t="s">
        <v>524</v>
      </c>
      <c r="K53" s="125" t="s">
        <v>72</v>
      </c>
      <c r="L53" s="69"/>
    </row>
    <row r="54" spans="1:12">
      <c r="A54" s="112" t="s">
        <v>459</v>
      </c>
      <c r="B54" s="113"/>
      <c r="C54" s="113"/>
      <c r="D54" s="113"/>
      <c r="E54" s="113"/>
      <c r="F54" s="113"/>
      <c r="G54" s="132" t="s">
        <v>523</v>
      </c>
      <c r="H54" s="113"/>
      <c r="I54" s="113"/>
      <c r="J54" s="131" t="s">
        <v>524</v>
      </c>
      <c r="K54" s="113"/>
      <c r="L54" s="114"/>
    </row>
    <row r="55" spans="1:12" ht="33.6">
      <c r="A55" s="118" t="s">
        <v>425</v>
      </c>
      <c r="B55" s="118" t="s">
        <v>426</v>
      </c>
      <c r="C55" s="118" t="s">
        <v>460</v>
      </c>
      <c r="D55" s="118" t="s">
        <v>461</v>
      </c>
      <c r="E55" s="118" t="s">
        <v>461</v>
      </c>
      <c r="F55" s="76" t="s">
        <v>2</v>
      </c>
      <c r="G55" s="132" t="s">
        <v>523</v>
      </c>
      <c r="H55" s="74" t="s">
        <v>73</v>
      </c>
      <c r="I55" s="127" t="s">
        <v>2</v>
      </c>
      <c r="J55" s="131" t="s">
        <v>524</v>
      </c>
      <c r="K55" s="125" t="s">
        <v>72</v>
      </c>
      <c r="L55" s="69"/>
    </row>
    <row r="56" spans="1:12" ht="33.6">
      <c r="A56" s="118" t="s">
        <v>427</v>
      </c>
      <c r="B56" s="118" t="s">
        <v>428</v>
      </c>
      <c r="C56" s="118" t="s">
        <v>462</v>
      </c>
      <c r="D56" s="118" t="s">
        <v>429</v>
      </c>
      <c r="E56" s="118" t="s">
        <v>429</v>
      </c>
      <c r="F56" s="76" t="s">
        <v>2</v>
      </c>
      <c r="G56" s="132" t="s">
        <v>523</v>
      </c>
      <c r="H56" s="74" t="s">
        <v>73</v>
      </c>
      <c r="I56" s="127" t="s">
        <v>2</v>
      </c>
      <c r="J56" s="131" t="s">
        <v>524</v>
      </c>
      <c r="K56" s="125" t="s">
        <v>72</v>
      </c>
      <c r="L56" s="69"/>
    </row>
    <row r="57" spans="1:12" ht="33.6">
      <c r="A57" s="118" t="s">
        <v>430</v>
      </c>
      <c r="B57" s="118" t="s">
        <v>431</v>
      </c>
      <c r="C57" s="118" t="s">
        <v>432</v>
      </c>
      <c r="D57" s="118" t="s">
        <v>433</v>
      </c>
      <c r="E57" s="118" t="s">
        <v>433</v>
      </c>
      <c r="F57" s="76" t="s">
        <v>2</v>
      </c>
      <c r="G57" s="132" t="s">
        <v>523</v>
      </c>
      <c r="H57" s="74" t="s">
        <v>73</v>
      </c>
      <c r="I57" s="127" t="s">
        <v>2</v>
      </c>
      <c r="J57" s="131" t="s">
        <v>524</v>
      </c>
      <c r="K57" s="125" t="s">
        <v>72</v>
      </c>
      <c r="L57" s="69"/>
    </row>
    <row r="58" spans="1:12">
      <c r="A58" s="118" t="s">
        <v>434</v>
      </c>
      <c r="B58" s="118" t="s">
        <v>435</v>
      </c>
      <c r="C58" s="118" t="s">
        <v>436</v>
      </c>
      <c r="D58" s="118" t="s">
        <v>437</v>
      </c>
      <c r="E58" s="118" t="s">
        <v>437</v>
      </c>
      <c r="F58" s="76" t="s">
        <v>2</v>
      </c>
      <c r="G58" s="132" t="s">
        <v>523</v>
      </c>
      <c r="H58" s="74" t="s">
        <v>73</v>
      </c>
      <c r="I58" s="127" t="s">
        <v>2</v>
      </c>
      <c r="J58" s="131" t="s">
        <v>524</v>
      </c>
      <c r="K58" s="125" t="s">
        <v>72</v>
      </c>
      <c r="L58" s="69"/>
    </row>
    <row r="59" spans="1:12" ht="33.6">
      <c r="A59" s="118" t="s">
        <v>438</v>
      </c>
      <c r="B59" s="118" t="s">
        <v>439</v>
      </c>
      <c r="C59" s="118" t="s">
        <v>440</v>
      </c>
      <c r="D59" s="118" t="s">
        <v>441</v>
      </c>
      <c r="E59" s="118" t="s">
        <v>441</v>
      </c>
      <c r="F59" s="76" t="s">
        <v>2</v>
      </c>
      <c r="G59" s="132" t="s">
        <v>523</v>
      </c>
      <c r="H59" s="74" t="s">
        <v>73</v>
      </c>
      <c r="I59" s="127" t="s">
        <v>2</v>
      </c>
      <c r="J59" s="131" t="s">
        <v>524</v>
      </c>
      <c r="K59" s="125" t="s">
        <v>72</v>
      </c>
      <c r="L59" s="69"/>
    </row>
    <row r="60" spans="1:12" ht="33.6">
      <c r="A60" s="118" t="s">
        <v>442</v>
      </c>
      <c r="B60" s="118" t="s">
        <v>443</v>
      </c>
      <c r="C60" s="118" t="s">
        <v>444</v>
      </c>
      <c r="D60" s="118" t="s">
        <v>445</v>
      </c>
      <c r="E60" s="118" t="s">
        <v>445</v>
      </c>
      <c r="F60" s="76" t="s">
        <v>2</v>
      </c>
      <c r="G60" s="132" t="s">
        <v>523</v>
      </c>
      <c r="H60" s="74" t="s">
        <v>73</v>
      </c>
      <c r="I60" s="127" t="s">
        <v>2</v>
      </c>
      <c r="J60" s="131" t="s">
        <v>524</v>
      </c>
      <c r="K60" s="125" t="s">
        <v>72</v>
      </c>
      <c r="L60" s="69"/>
    </row>
    <row r="61" spans="1:12">
      <c r="A61" s="118" t="s">
        <v>446</v>
      </c>
      <c r="B61" s="118" t="s">
        <v>447</v>
      </c>
      <c r="C61" s="118" t="s">
        <v>448</v>
      </c>
      <c r="D61" s="118" t="s">
        <v>449</v>
      </c>
      <c r="E61" s="118" t="s">
        <v>449</v>
      </c>
      <c r="F61" s="76" t="s">
        <v>170</v>
      </c>
      <c r="G61" s="132" t="s">
        <v>523</v>
      </c>
      <c r="H61" s="74" t="s">
        <v>73</v>
      </c>
      <c r="I61" s="127" t="s">
        <v>170</v>
      </c>
      <c r="J61" s="131" t="s">
        <v>524</v>
      </c>
      <c r="K61" s="125" t="s">
        <v>72</v>
      </c>
      <c r="L61" s="69"/>
    </row>
    <row r="62" spans="1:12">
      <c r="A62" s="118" t="s">
        <v>450</v>
      </c>
      <c r="B62" s="118" t="s">
        <v>451</v>
      </c>
      <c r="C62" s="118" t="s">
        <v>452</v>
      </c>
      <c r="D62" s="118" t="s">
        <v>453</v>
      </c>
      <c r="E62" s="118" t="s">
        <v>453</v>
      </c>
      <c r="F62" s="76" t="s">
        <v>170</v>
      </c>
      <c r="G62" s="132" t="s">
        <v>523</v>
      </c>
      <c r="H62" s="74" t="s">
        <v>73</v>
      </c>
      <c r="I62" s="127" t="s">
        <v>170</v>
      </c>
      <c r="J62" s="131" t="s">
        <v>524</v>
      </c>
      <c r="K62" s="125" t="s">
        <v>72</v>
      </c>
      <c r="L62" s="69"/>
    </row>
    <row r="63" spans="1:12">
      <c r="A63" s="118" t="s">
        <v>454</v>
      </c>
      <c r="B63" s="118" t="s">
        <v>455</v>
      </c>
      <c r="C63" s="118" t="s">
        <v>463</v>
      </c>
      <c r="D63" s="118" t="s">
        <v>464</v>
      </c>
      <c r="E63" s="118" t="s">
        <v>464</v>
      </c>
      <c r="F63" s="76" t="s">
        <v>2</v>
      </c>
      <c r="G63" s="132" t="s">
        <v>523</v>
      </c>
      <c r="H63" s="74" t="s">
        <v>73</v>
      </c>
      <c r="I63" s="127" t="s">
        <v>2</v>
      </c>
      <c r="J63" s="131" t="s">
        <v>524</v>
      </c>
      <c r="K63" s="125" t="s">
        <v>72</v>
      </c>
      <c r="L63" s="69"/>
    </row>
    <row r="64" spans="1:12">
      <c r="A64" s="118" t="s">
        <v>456</v>
      </c>
      <c r="B64" s="118" t="s">
        <v>457</v>
      </c>
      <c r="C64" s="118" t="s">
        <v>458</v>
      </c>
      <c r="D64" s="118" t="s">
        <v>465</v>
      </c>
      <c r="E64" s="118" t="s">
        <v>465</v>
      </c>
      <c r="F64" s="76" t="s">
        <v>2</v>
      </c>
      <c r="G64" s="132" t="s">
        <v>523</v>
      </c>
      <c r="H64" s="74" t="s">
        <v>73</v>
      </c>
      <c r="I64" s="127" t="s">
        <v>2</v>
      </c>
      <c r="J64" s="131" t="s">
        <v>524</v>
      </c>
      <c r="K64" s="125" t="s">
        <v>72</v>
      </c>
      <c r="L64" s="69"/>
    </row>
  </sheetData>
  <mergeCells count="10">
    <mergeCell ref="L45:L47"/>
    <mergeCell ref="B1:F1"/>
    <mergeCell ref="B2:F2"/>
    <mergeCell ref="A45:A47"/>
    <mergeCell ref="B45:B47"/>
    <mergeCell ref="C45:C47"/>
    <mergeCell ref="D45:D47"/>
    <mergeCell ref="F45:K45"/>
    <mergeCell ref="F46:H46"/>
    <mergeCell ref="I46:K46"/>
  </mergeCells>
  <dataValidations count="1">
    <dataValidation type="list" operator="equal" allowBlank="1" showErrorMessage="1" promptTitle="dfdf" sqref="I49:I53 F49:F53 I55:I62 F55:F64" xr:uid="{00000000-0002-0000-02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2"/>
  <sheetViews>
    <sheetView topLeftCell="F7" zoomScale="85" zoomScaleNormal="85" workbookViewId="0">
      <selection activeCell="J16" sqref="J16:J18"/>
    </sheetView>
  </sheetViews>
  <sheetFormatPr defaultColWidth="8.88671875" defaultRowHeight="16.8"/>
  <cols>
    <col min="1" max="1" width="35.109375" style="8" bestFit="1" customWidth="1"/>
    <col min="2" max="2" width="57.33203125" style="8" bestFit="1" customWidth="1"/>
    <col min="3" max="3" width="67.44140625" style="8" bestFit="1" customWidth="1"/>
    <col min="4" max="4" width="63.33203125" style="8" bestFit="1" customWidth="1"/>
    <col min="5" max="5" width="57.109375" style="8" bestFit="1" customWidth="1"/>
    <col min="6" max="6" width="20" style="8" bestFit="1" customWidth="1"/>
    <col min="7" max="7" width="15.88671875" style="8" bestFit="1" customWidth="1"/>
    <col min="8" max="8" width="17" style="8" bestFit="1" customWidth="1"/>
    <col min="9" max="9" width="12.109375" style="8" bestFit="1" customWidth="1"/>
    <col min="10" max="10" width="15.88671875" style="8" bestFit="1" customWidth="1"/>
    <col min="11" max="11" width="17" style="8" bestFit="1" customWidth="1"/>
    <col min="12" max="12" width="10.6640625" style="8" bestFit="1" customWidth="1"/>
    <col min="13" max="16384" width="8.88671875" style="8"/>
  </cols>
  <sheetData>
    <row r="1" spans="1:12">
      <c r="A1" s="81" t="s">
        <v>0</v>
      </c>
      <c r="B1" s="145" t="s">
        <v>119</v>
      </c>
      <c r="C1" s="145"/>
      <c r="D1" s="145"/>
      <c r="E1" s="145"/>
      <c r="F1" s="145"/>
    </row>
    <row r="2" spans="1:12">
      <c r="A2" s="81" t="s">
        <v>5</v>
      </c>
      <c r="B2" s="146" t="s">
        <v>69</v>
      </c>
      <c r="C2" s="146"/>
      <c r="D2" s="146"/>
      <c r="E2" s="146"/>
      <c r="F2" s="146"/>
    </row>
    <row r="3" spans="1:12">
      <c r="A3" s="69"/>
      <c r="B3" s="82" t="s">
        <v>23</v>
      </c>
      <c r="C3" s="82" t="s">
        <v>24</v>
      </c>
      <c r="D3" s="82" t="s">
        <v>33</v>
      </c>
      <c r="E3" s="83" t="s">
        <v>25</v>
      </c>
      <c r="F3" s="82" t="s">
        <v>43</v>
      </c>
    </row>
    <row r="4" spans="1:12">
      <c r="A4" s="70" t="s">
        <v>3</v>
      </c>
      <c r="B4" s="69">
        <v>6</v>
      </c>
      <c r="C4" s="69">
        <v>0</v>
      </c>
      <c r="D4" s="69">
        <v>0</v>
      </c>
      <c r="E4" s="69">
        <v>0</v>
      </c>
      <c r="F4" s="69">
        <v>6</v>
      </c>
    </row>
    <row r="5" spans="1:12">
      <c r="A5" s="70" t="s">
        <v>4</v>
      </c>
      <c r="B5" s="69">
        <v>6</v>
      </c>
      <c r="C5" s="69">
        <v>0</v>
      </c>
      <c r="D5" s="69">
        <v>0</v>
      </c>
      <c r="E5" s="71">
        <v>0</v>
      </c>
      <c r="F5" s="69">
        <v>6</v>
      </c>
    </row>
    <row r="12" spans="1:12">
      <c r="A12" s="147" t="s">
        <v>6</v>
      </c>
      <c r="B12" s="147" t="s">
        <v>12</v>
      </c>
      <c r="C12" s="147" t="s">
        <v>40</v>
      </c>
      <c r="D12" s="148" t="s">
        <v>41</v>
      </c>
      <c r="E12" s="147" t="s">
        <v>42</v>
      </c>
      <c r="F12" s="166" t="s">
        <v>34</v>
      </c>
      <c r="G12" s="166"/>
      <c r="H12" s="166"/>
      <c r="I12" s="166"/>
      <c r="J12" s="166"/>
      <c r="K12" s="166"/>
      <c r="L12" s="166" t="s">
        <v>35</v>
      </c>
    </row>
    <row r="13" spans="1:12">
      <c r="A13" s="147"/>
      <c r="B13" s="147"/>
      <c r="C13" s="147"/>
      <c r="D13" s="148"/>
      <c r="E13" s="147"/>
      <c r="F13" s="166" t="s">
        <v>15</v>
      </c>
      <c r="G13" s="166"/>
      <c r="H13" s="166"/>
      <c r="I13" s="166" t="s">
        <v>16</v>
      </c>
      <c r="J13" s="166"/>
      <c r="K13" s="166"/>
      <c r="L13" s="166"/>
    </row>
    <row r="14" spans="1:12">
      <c r="A14" s="147"/>
      <c r="B14" s="147"/>
      <c r="C14" s="147"/>
      <c r="D14" s="148"/>
      <c r="E14" s="147"/>
      <c r="F14" s="93" t="s">
        <v>36</v>
      </c>
      <c r="G14" s="80" t="s">
        <v>37</v>
      </c>
      <c r="H14" s="93" t="s">
        <v>38</v>
      </c>
      <c r="I14" s="93" t="s">
        <v>36</v>
      </c>
      <c r="J14" s="93" t="s">
        <v>37</v>
      </c>
      <c r="K14" s="93" t="s">
        <v>38</v>
      </c>
      <c r="L14" s="166"/>
    </row>
    <row r="15" spans="1:12">
      <c r="A15" s="150" t="s">
        <v>385</v>
      </c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3"/>
    </row>
    <row r="16" spans="1:12">
      <c r="A16" s="69" t="s">
        <v>391</v>
      </c>
      <c r="B16" s="69" t="s">
        <v>393</v>
      </c>
      <c r="C16" s="119" t="s">
        <v>394</v>
      </c>
      <c r="D16" s="69" t="s">
        <v>395</v>
      </c>
      <c r="E16" s="69" t="s">
        <v>395</v>
      </c>
      <c r="F16" s="69" t="s">
        <v>2</v>
      </c>
      <c r="G16" s="133" t="s">
        <v>525</v>
      </c>
      <c r="H16" s="74" t="s">
        <v>72</v>
      </c>
      <c r="I16" s="74" t="s">
        <v>2</v>
      </c>
      <c r="J16" s="131" t="s">
        <v>526</v>
      </c>
      <c r="K16" s="74" t="s">
        <v>73</v>
      </c>
      <c r="L16" s="69"/>
    </row>
    <row r="17" spans="1:12">
      <c r="A17" s="69" t="s">
        <v>392</v>
      </c>
      <c r="B17" s="118" t="s">
        <v>396</v>
      </c>
      <c r="C17" s="119" t="s">
        <v>397</v>
      </c>
      <c r="D17" s="118" t="s">
        <v>466</v>
      </c>
      <c r="E17" s="118" t="s">
        <v>466</v>
      </c>
      <c r="F17" s="69" t="s">
        <v>2</v>
      </c>
      <c r="G17" s="133" t="s">
        <v>525</v>
      </c>
      <c r="H17" s="74" t="s">
        <v>72</v>
      </c>
      <c r="I17" s="74" t="s">
        <v>2</v>
      </c>
      <c r="J17" s="131" t="s">
        <v>526</v>
      </c>
      <c r="K17" s="74" t="s">
        <v>73</v>
      </c>
      <c r="L17" s="69"/>
    </row>
    <row r="18" spans="1:12">
      <c r="A18" s="69" t="s">
        <v>387</v>
      </c>
      <c r="B18" s="8" t="s">
        <v>388</v>
      </c>
      <c r="C18" s="8" t="s">
        <v>390</v>
      </c>
      <c r="D18" s="69" t="s">
        <v>389</v>
      </c>
      <c r="E18" s="69" t="s">
        <v>389</v>
      </c>
      <c r="F18" s="69" t="s">
        <v>2</v>
      </c>
      <c r="G18" s="133" t="s">
        <v>525</v>
      </c>
      <c r="H18" s="74" t="s">
        <v>72</v>
      </c>
      <c r="I18" s="74" t="s">
        <v>2</v>
      </c>
      <c r="J18" s="131" t="s">
        <v>526</v>
      </c>
      <c r="K18" s="74" t="s">
        <v>73</v>
      </c>
      <c r="L18" s="69"/>
    </row>
    <row r="19" spans="1:12">
      <c r="A19" s="115" t="s">
        <v>386</v>
      </c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7"/>
    </row>
    <row r="20" spans="1:12">
      <c r="A20" s="69" t="s">
        <v>398</v>
      </c>
      <c r="B20" s="69" t="s">
        <v>401</v>
      </c>
      <c r="C20" s="69" t="s">
        <v>390</v>
      </c>
      <c r="D20" s="69" t="s">
        <v>467</v>
      </c>
      <c r="E20" s="69" t="s">
        <v>467</v>
      </c>
      <c r="F20" s="76" t="s">
        <v>2</v>
      </c>
      <c r="G20" s="133" t="s">
        <v>525</v>
      </c>
      <c r="H20" s="74" t="s">
        <v>72</v>
      </c>
      <c r="I20" s="74" t="s">
        <v>2</v>
      </c>
      <c r="J20" s="131" t="s">
        <v>526</v>
      </c>
      <c r="K20" s="74" t="s">
        <v>73</v>
      </c>
      <c r="L20" s="69"/>
    </row>
    <row r="21" spans="1:12">
      <c r="A21" s="69" t="s">
        <v>399</v>
      </c>
      <c r="B21" s="69" t="s">
        <v>402</v>
      </c>
      <c r="C21" s="69" t="s">
        <v>404</v>
      </c>
      <c r="D21" s="69" t="s">
        <v>468</v>
      </c>
      <c r="E21" s="69" t="s">
        <v>468</v>
      </c>
      <c r="F21" s="76" t="s">
        <v>2</v>
      </c>
      <c r="G21" s="133" t="s">
        <v>525</v>
      </c>
      <c r="H21" s="74" t="s">
        <v>72</v>
      </c>
      <c r="I21" s="74" t="s">
        <v>2</v>
      </c>
      <c r="J21" s="131" t="s">
        <v>526</v>
      </c>
      <c r="K21" s="74" t="s">
        <v>73</v>
      </c>
      <c r="L21" s="69"/>
    </row>
    <row r="22" spans="1:12">
      <c r="A22" s="69" t="s">
        <v>400</v>
      </c>
      <c r="B22" s="69" t="s">
        <v>403</v>
      </c>
      <c r="C22" s="69" t="s">
        <v>405</v>
      </c>
      <c r="D22" s="69" t="s">
        <v>469</v>
      </c>
      <c r="E22" s="69" t="s">
        <v>469</v>
      </c>
      <c r="F22" s="76" t="s">
        <v>2</v>
      </c>
      <c r="G22" s="133" t="s">
        <v>525</v>
      </c>
      <c r="H22" s="74" t="s">
        <v>72</v>
      </c>
      <c r="I22" s="74" t="s">
        <v>2</v>
      </c>
      <c r="J22" s="131" t="s">
        <v>526</v>
      </c>
      <c r="K22" s="74" t="s">
        <v>73</v>
      </c>
      <c r="L22" s="69"/>
    </row>
  </sheetData>
  <mergeCells count="12">
    <mergeCell ref="L12:L14"/>
    <mergeCell ref="F13:H13"/>
    <mergeCell ref="I13:K13"/>
    <mergeCell ref="A15:L15"/>
    <mergeCell ref="B1:F1"/>
    <mergeCell ref="B2:F2"/>
    <mergeCell ref="A12:A14"/>
    <mergeCell ref="B12:B14"/>
    <mergeCell ref="C12:C14"/>
    <mergeCell ref="D12:D14"/>
    <mergeCell ref="E12:E14"/>
    <mergeCell ref="F12:K12"/>
  </mergeCells>
  <phoneticPr fontId="22" type="noConversion"/>
  <dataValidations count="1">
    <dataValidation type="list" operator="equal" allowBlank="1" showErrorMessage="1" promptTitle="dfdf" sqref="F20:F22 I20:I22 F16:F18 I16:I18" xr:uid="{00000000-0002-0000-03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4"/>
  <sheetViews>
    <sheetView topLeftCell="E50" zoomScale="70" zoomScaleNormal="70" workbookViewId="0">
      <selection activeCell="I50" sqref="I50"/>
    </sheetView>
  </sheetViews>
  <sheetFormatPr defaultColWidth="8.88671875" defaultRowHeight="16.8"/>
  <cols>
    <col min="1" max="1" width="15.5546875" style="8" bestFit="1" customWidth="1"/>
    <col min="2" max="2" width="15" style="8" customWidth="1"/>
    <col min="3" max="3" width="16.33203125" style="8" bestFit="1" customWidth="1"/>
    <col min="4" max="4" width="33.6640625" style="8" bestFit="1" customWidth="1"/>
    <col min="5" max="5" width="28.33203125" style="8" bestFit="1" customWidth="1"/>
    <col min="6" max="6" width="20" style="8" bestFit="1" customWidth="1"/>
    <col min="7" max="7" width="12.44140625" style="8" bestFit="1" customWidth="1"/>
    <col min="8" max="8" width="16" style="8" bestFit="1" customWidth="1"/>
    <col min="9" max="9" width="12.44140625" style="8" bestFit="1" customWidth="1"/>
    <col min="10" max="10" width="12.109375" style="8" bestFit="1" customWidth="1"/>
    <col min="11" max="12" width="9.6640625" style="8" bestFit="1" customWidth="1"/>
    <col min="13" max="13" width="11.33203125" style="8" bestFit="1" customWidth="1"/>
    <col min="14" max="16384" width="8.88671875" style="8"/>
  </cols>
  <sheetData>
    <row r="1" spans="1:6">
      <c r="A1" s="81" t="s">
        <v>0</v>
      </c>
      <c r="B1" s="145" t="s">
        <v>119</v>
      </c>
      <c r="C1" s="145"/>
      <c r="D1" s="145"/>
      <c r="E1" s="145"/>
      <c r="F1" s="145"/>
    </row>
    <row r="2" spans="1:6">
      <c r="A2" s="81" t="s">
        <v>5</v>
      </c>
      <c r="B2" s="146" t="s">
        <v>67</v>
      </c>
      <c r="C2" s="146"/>
      <c r="D2" s="146"/>
      <c r="E2" s="146"/>
      <c r="F2" s="146"/>
    </row>
    <row r="3" spans="1:6">
      <c r="A3" s="69"/>
      <c r="B3" s="82" t="s">
        <v>23</v>
      </c>
      <c r="C3" s="82" t="s">
        <v>24</v>
      </c>
      <c r="D3" s="82" t="s">
        <v>33</v>
      </c>
      <c r="E3" s="83" t="s">
        <v>25</v>
      </c>
      <c r="F3" s="82" t="s">
        <v>43</v>
      </c>
    </row>
    <row r="4" spans="1:6">
      <c r="A4" s="70" t="s">
        <v>3</v>
      </c>
      <c r="B4" s="69">
        <v>20</v>
      </c>
      <c r="C4" s="69">
        <v>0</v>
      </c>
      <c r="D4" s="69">
        <v>0</v>
      </c>
      <c r="E4" s="69"/>
      <c r="F4" s="69">
        <v>20</v>
      </c>
    </row>
    <row r="5" spans="1:6">
      <c r="A5" s="70" t="s">
        <v>4</v>
      </c>
      <c r="B5" s="69">
        <v>20</v>
      </c>
      <c r="C5" s="69">
        <v>0</v>
      </c>
      <c r="D5" s="69">
        <v>0</v>
      </c>
      <c r="E5" s="71">
        <v>0</v>
      </c>
      <c r="F5" s="69">
        <v>20</v>
      </c>
    </row>
    <row r="34" spans="1:12" ht="33.6" customHeight="1">
      <c r="A34" s="167" t="s">
        <v>6</v>
      </c>
      <c r="B34" s="167" t="s">
        <v>12</v>
      </c>
      <c r="C34" s="167" t="s">
        <v>172</v>
      </c>
      <c r="D34" s="167" t="s">
        <v>41</v>
      </c>
      <c r="E34" s="167" t="s">
        <v>42</v>
      </c>
      <c r="F34" s="170" t="s">
        <v>34</v>
      </c>
      <c r="G34" s="171"/>
      <c r="H34" s="171"/>
      <c r="I34" s="171"/>
      <c r="J34" s="171"/>
      <c r="K34" s="172"/>
      <c r="L34" s="167" t="s">
        <v>35</v>
      </c>
    </row>
    <row r="35" spans="1:12">
      <c r="A35" s="168"/>
      <c r="B35" s="168"/>
      <c r="C35" s="168"/>
      <c r="D35" s="168"/>
      <c r="E35" s="168"/>
      <c r="F35" s="170" t="s">
        <v>15</v>
      </c>
      <c r="G35" s="171"/>
      <c r="H35" s="172"/>
      <c r="I35" s="170" t="s">
        <v>16</v>
      </c>
      <c r="J35" s="171"/>
      <c r="K35" s="172"/>
      <c r="L35" s="168"/>
    </row>
    <row r="36" spans="1:12" ht="50.4">
      <c r="A36" s="169"/>
      <c r="B36" s="169"/>
      <c r="C36" s="169"/>
      <c r="D36" s="169"/>
      <c r="E36" s="169"/>
      <c r="F36" s="97" t="s">
        <v>36</v>
      </c>
      <c r="G36" s="98" t="s">
        <v>37</v>
      </c>
      <c r="H36" s="99" t="s">
        <v>38</v>
      </c>
      <c r="I36" s="97" t="s">
        <v>36</v>
      </c>
      <c r="J36" s="98" t="s">
        <v>37</v>
      </c>
      <c r="K36" s="99" t="s">
        <v>38</v>
      </c>
      <c r="L36" s="169"/>
    </row>
    <row r="37" spans="1:12">
      <c r="A37" s="103" t="s">
        <v>173</v>
      </c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5"/>
    </row>
    <row r="38" spans="1:12" ht="16.95" customHeight="1">
      <c r="A38" s="118" t="s">
        <v>174</v>
      </c>
      <c r="B38" s="118" t="s">
        <v>128</v>
      </c>
      <c r="C38" s="118" t="s">
        <v>175</v>
      </c>
      <c r="D38" s="118" t="s">
        <v>470</v>
      </c>
      <c r="E38" s="118" t="s">
        <v>470</v>
      </c>
      <c r="F38" s="107" t="s">
        <v>2</v>
      </c>
      <c r="G38" s="130" t="s">
        <v>527</v>
      </c>
      <c r="H38" s="107" t="s">
        <v>237</v>
      </c>
      <c r="I38" s="108" t="s">
        <v>2</v>
      </c>
      <c r="J38" s="130" t="s">
        <v>528</v>
      </c>
      <c r="K38" s="107" t="s">
        <v>142</v>
      </c>
      <c r="L38" s="107"/>
    </row>
    <row r="39" spans="1:12" ht="50.4">
      <c r="A39" s="118" t="s">
        <v>176</v>
      </c>
      <c r="B39" s="118" t="s">
        <v>177</v>
      </c>
      <c r="C39" s="118" t="s">
        <v>178</v>
      </c>
      <c r="D39" s="118" t="s">
        <v>179</v>
      </c>
      <c r="E39" s="118" t="s">
        <v>179</v>
      </c>
      <c r="F39" s="107" t="s">
        <v>2</v>
      </c>
      <c r="G39" s="133" t="s">
        <v>527</v>
      </c>
      <c r="H39" s="107" t="s">
        <v>237</v>
      </c>
      <c r="I39" s="108" t="s">
        <v>2</v>
      </c>
      <c r="J39" s="133" t="s">
        <v>528</v>
      </c>
      <c r="K39" s="107" t="s">
        <v>142</v>
      </c>
      <c r="L39" s="107"/>
    </row>
    <row r="40" spans="1:12" ht="33.6">
      <c r="A40" s="118" t="s">
        <v>180</v>
      </c>
      <c r="B40" s="118" t="s">
        <v>181</v>
      </c>
      <c r="C40" s="118" t="s">
        <v>182</v>
      </c>
      <c r="D40" s="118" t="s">
        <v>471</v>
      </c>
      <c r="E40" s="118" t="s">
        <v>471</v>
      </c>
      <c r="F40" s="107" t="s">
        <v>2</v>
      </c>
      <c r="G40" s="133" t="s">
        <v>527</v>
      </c>
      <c r="H40" s="107" t="s">
        <v>237</v>
      </c>
      <c r="I40" s="108" t="s">
        <v>2</v>
      </c>
      <c r="J40" s="133" t="s">
        <v>528</v>
      </c>
      <c r="K40" s="107" t="s">
        <v>142</v>
      </c>
      <c r="L40" s="107"/>
    </row>
    <row r="41" spans="1:12" ht="50.4">
      <c r="A41" s="118" t="s">
        <v>183</v>
      </c>
      <c r="B41" s="118" t="s">
        <v>184</v>
      </c>
      <c r="C41" s="118" t="s">
        <v>185</v>
      </c>
      <c r="D41" s="118" t="s">
        <v>472</v>
      </c>
      <c r="E41" s="118" t="s">
        <v>472</v>
      </c>
      <c r="F41" s="107" t="s">
        <v>2</v>
      </c>
      <c r="G41" s="133" t="s">
        <v>527</v>
      </c>
      <c r="H41" s="107" t="s">
        <v>237</v>
      </c>
      <c r="I41" s="108" t="s">
        <v>2</v>
      </c>
      <c r="J41" s="133" t="s">
        <v>528</v>
      </c>
      <c r="K41" s="107" t="s">
        <v>142</v>
      </c>
      <c r="L41" s="107"/>
    </row>
    <row r="42" spans="1:12" ht="50.4">
      <c r="A42" s="118" t="s">
        <v>186</v>
      </c>
      <c r="B42" s="118" t="s">
        <v>187</v>
      </c>
      <c r="C42" s="118" t="s">
        <v>188</v>
      </c>
      <c r="D42" s="118" t="s">
        <v>189</v>
      </c>
      <c r="E42" s="118" t="s">
        <v>189</v>
      </c>
      <c r="F42" s="107" t="s">
        <v>2</v>
      </c>
      <c r="G42" s="133" t="s">
        <v>527</v>
      </c>
      <c r="H42" s="107" t="s">
        <v>237</v>
      </c>
      <c r="I42" s="108" t="s">
        <v>2</v>
      </c>
      <c r="J42" s="133" t="s">
        <v>528</v>
      </c>
      <c r="K42" s="107" t="s">
        <v>142</v>
      </c>
      <c r="L42" s="107"/>
    </row>
    <row r="43" spans="1:12" ht="50.4">
      <c r="A43" s="118" t="s">
        <v>190</v>
      </c>
      <c r="B43" s="118" t="s">
        <v>191</v>
      </c>
      <c r="C43" s="118" t="s">
        <v>192</v>
      </c>
      <c r="D43" s="118" t="s">
        <v>473</v>
      </c>
      <c r="E43" s="118" t="s">
        <v>473</v>
      </c>
      <c r="F43" s="107" t="s">
        <v>2</v>
      </c>
      <c r="G43" s="133" t="s">
        <v>527</v>
      </c>
      <c r="H43" s="107" t="s">
        <v>237</v>
      </c>
      <c r="I43" s="108" t="s">
        <v>2</v>
      </c>
      <c r="J43" s="133" t="s">
        <v>528</v>
      </c>
      <c r="K43" s="107" t="s">
        <v>142</v>
      </c>
      <c r="L43" s="107"/>
    </row>
    <row r="44" spans="1:12" ht="50.4">
      <c r="A44" s="118" t="s">
        <v>193</v>
      </c>
      <c r="B44" s="118" t="s">
        <v>194</v>
      </c>
      <c r="C44" s="118" t="s">
        <v>195</v>
      </c>
      <c r="D44" s="118" t="s">
        <v>196</v>
      </c>
      <c r="E44" s="118" t="s">
        <v>196</v>
      </c>
      <c r="F44" s="107" t="s">
        <v>2</v>
      </c>
      <c r="G44" s="133" t="s">
        <v>527</v>
      </c>
      <c r="H44" s="107" t="s">
        <v>237</v>
      </c>
      <c r="I44" s="108" t="s">
        <v>2</v>
      </c>
      <c r="J44" s="133" t="s">
        <v>528</v>
      </c>
      <c r="K44" s="107" t="s">
        <v>142</v>
      </c>
      <c r="L44" s="100"/>
    </row>
    <row r="45" spans="1:12" ht="50.4">
      <c r="A45" s="118" t="s">
        <v>197</v>
      </c>
      <c r="B45" s="118" t="s">
        <v>198</v>
      </c>
      <c r="C45" s="118" t="s">
        <v>199</v>
      </c>
      <c r="D45" s="118" t="s">
        <v>200</v>
      </c>
      <c r="E45" s="118" t="s">
        <v>200</v>
      </c>
      <c r="F45" s="107" t="s">
        <v>2</v>
      </c>
      <c r="G45" s="133" t="s">
        <v>527</v>
      </c>
      <c r="H45" s="107" t="s">
        <v>237</v>
      </c>
      <c r="I45" s="108" t="s">
        <v>2</v>
      </c>
      <c r="J45" s="133" t="s">
        <v>528</v>
      </c>
      <c r="K45" s="107" t="s">
        <v>142</v>
      </c>
      <c r="L45" s="100"/>
    </row>
    <row r="46" spans="1:12" ht="50.4">
      <c r="A46" s="118" t="s">
        <v>201</v>
      </c>
      <c r="B46" s="118" t="s">
        <v>202</v>
      </c>
      <c r="C46" s="118" t="s">
        <v>203</v>
      </c>
      <c r="D46" s="118" t="s">
        <v>204</v>
      </c>
      <c r="E46" s="118" t="s">
        <v>204</v>
      </c>
      <c r="F46" s="107" t="s">
        <v>2</v>
      </c>
      <c r="G46" s="133" t="s">
        <v>527</v>
      </c>
      <c r="H46" s="107" t="s">
        <v>237</v>
      </c>
      <c r="I46" s="108" t="s">
        <v>2</v>
      </c>
      <c r="J46" s="133" t="s">
        <v>528</v>
      </c>
      <c r="K46" s="107" t="s">
        <v>142</v>
      </c>
      <c r="L46" s="100"/>
    </row>
    <row r="47" spans="1:12" ht="50.4">
      <c r="A47" s="118" t="s">
        <v>205</v>
      </c>
      <c r="B47" s="118" t="s">
        <v>206</v>
      </c>
      <c r="C47" s="118" t="s">
        <v>207</v>
      </c>
      <c r="D47" s="118" t="s">
        <v>208</v>
      </c>
      <c r="E47" s="118" t="s">
        <v>208</v>
      </c>
      <c r="F47" s="107" t="s">
        <v>2</v>
      </c>
      <c r="G47" s="133" t="s">
        <v>527</v>
      </c>
      <c r="H47" s="107" t="s">
        <v>237</v>
      </c>
      <c r="I47" s="108" t="s">
        <v>2</v>
      </c>
      <c r="J47" s="133" t="s">
        <v>528</v>
      </c>
      <c r="K47" s="107" t="s">
        <v>142</v>
      </c>
      <c r="L47" s="100"/>
    </row>
    <row r="48" spans="1:12">
      <c r="A48" s="101" t="s">
        <v>209</v>
      </c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</row>
    <row r="49" spans="1:13" ht="67.2">
      <c r="A49" s="120" t="s">
        <v>210</v>
      </c>
      <c r="B49" s="120" t="s">
        <v>474</v>
      </c>
      <c r="C49" s="120" t="s">
        <v>475</v>
      </c>
      <c r="D49" s="120" t="s">
        <v>211</v>
      </c>
      <c r="E49" s="120" t="s">
        <v>211</v>
      </c>
      <c r="F49" s="102" t="s">
        <v>2</v>
      </c>
      <c r="G49" s="133" t="s">
        <v>527</v>
      </c>
      <c r="H49" s="110" t="s">
        <v>237</v>
      </c>
      <c r="I49" s="111" t="s">
        <v>2</v>
      </c>
      <c r="J49" s="133" t="s">
        <v>528</v>
      </c>
      <c r="K49" s="110" t="s">
        <v>142</v>
      </c>
      <c r="L49" s="111"/>
    </row>
    <row r="50" spans="1:13" ht="50.4">
      <c r="A50" s="120" t="s">
        <v>212</v>
      </c>
      <c r="B50" s="120" t="s">
        <v>213</v>
      </c>
      <c r="C50" s="120" t="s">
        <v>476</v>
      </c>
      <c r="D50" s="120" t="s">
        <v>214</v>
      </c>
      <c r="E50" s="120" t="s">
        <v>214</v>
      </c>
      <c r="F50" s="102" t="s">
        <v>2</v>
      </c>
      <c r="G50" s="133" t="s">
        <v>527</v>
      </c>
      <c r="H50" s="110" t="s">
        <v>237</v>
      </c>
      <c r="I50" s="111" t="s">
        <v>2</v>
      </c>
      <c r="J50" s="133" t="s">
        <v>528</v>
      </c>
      <c r="K50" s="110" t="s">
        <v>142</v>
      </c>
      <c r="L50" s="111"/>
    </row>
    <row r="51" spans="1:13" ht="50.4">
      <c r="A51" s="120" t="s">
        <v>215</v>
      </c>
      <c r="B51" s="120" t="s">
        <v>477</v>
      </c>
      <c r="C51" s="120" t="s">
        <v>478</v>
      </c>
      <c r="D51" s="120" t="s">
        <v>216</v>
      </c>
      <c r="E51" s="120" t="s">
        <v>216</v>
      </c>
      <c r="F51" s="102" t="s">
        <v>2</v>
      </c>
      <c r="G51" s="133" t="s">
        <v>527</v>
      </c>
      <c r="H51" s="110" t="s">
        <v>237</v>
      </c>
      <c r="I51" s="111" t="s">
        <v>2</v>
      </c>
      <c r="J51" s="133" t="s">
        <v>528</v>
      </c>
      <c r="K51" s="110" t="s">
        <v>142</v>
      </c>
      <c r="L51" s="111"/>
    </row>
    <row r="52" spans="1:13" ht="33.6">
      <c r="A52" s="120" t="s">
        <v>217</v>
      </c>
      <c r="B52" s="120" t="s">
        <v>479</v>
      </c>
      <c r="C52" s="120" t="s">
        <v>480</v>
      </c>
      <c r="D52" s="120" t="s">
        <v>218</v>
      </c>
      <c r="E52" s="120" t="s">
        <v>218</v>
      </c>
      <c r="F52" s="102" t="s">
        <v>2</v>
      </c>
      <c r="G52" s="133" t="s">
        <v>527</v>
      </c>
      <c r="H52" s="110" t="s">
        <v>237</v>
      </c>
      <c r="I52" s="111" t="s">
        <v>2</v>
      </c>
      <c r="J52" s="133" t="s">
        <v>528</v>
      </c>
      <c r="K52" s="110" t="s">
        <v>142</v>
      </c>
      <c r="L52" s="111"/>
      <c r="M52" s="106"/>
    </row>
    <row r="53" spans="1:13" ht="50.4">
      <c r="A53" s="120" t="s">
        <v>219</v>
      </c>
      <c r="B53" s="120" t="s">
        <v>220</v>
      </c>
      <c r="C53" s="120" t="s">
        <v>481</v>
      </c>
      <c r="D53" s="120" t="s">
        <v>221</v>
      </c>
      <c r="E53" s="120" t="s">
        <v>221</v>
      </c>
      <c r="F53" s="102" t="s">
        <v>2</v>
      </c>
      <c r="G53" s="133" t="s">
        <v>527</v>
      </c>
      <c r="H53" s="110" t="s">
        <v>237</v>
      </c>
      <c r="I53" s="111" t="s">
        <v>2</v>
      </c>
      <c r="J53" s="133" t="s">
        <v>528</v>
      </c>
      <c r="K53" s="110" t="s">
        <v>142</v>
      </c>
      <c r="L53" s="111"/>
    </row>
    <row r="54" spans="1:13" ht="84">
      <c r="A54" s="120" t="s">
        <v>222</v>
      </c>
      <c r="B54" s="120" t="s">
        <v>223</v>
      </c>
      <c r="C54" s="120" t="s">
        <v>482</v>
      </c>
      <c r="D54" s="120" t="s">
        <v>224</v>
      </c>
      <c r="E54" s="120" t="s">
        <v>224</v>
      </c>
      <c r="F54" s="102" t="s">
        <v>2</v>
      </c>
      <c r="G54" s="133" t="s">
        <v>527</v>
      </c>
      <c r="H54" s="110" t="s">
        <v>237</v>
      </c>
      <c r="I54" s="111" t="s">
        <v>2</v>
      </c>
      <c r="J54" s="133" t="s">
        <v>528</v>
      </c>
      <c r="K54" s="110" t="s">
        <v>142</v>
      </c>
      <c r="L54" s="111"/>
    </row>
    <row r="55" spans="1:13" ht="50.4">
      <c r="A55" s="120" t="s">
        <v>225</v>
      </c>
      <c r="B55" s="120" t="s">
        <v>226</v>
      </c>
      <c r="C55" s="120" t="s">
        <v>483</v>
      </c>
      <c r="D55" s="120" t="s">
        <v>227</v>
      </c>
      <c r="E55" s="120" t="s">
        <v>227</v>
      </c>
      <c r="F55" s="102" t="s">
        <v>2</v>
      </c>
      <c r="G55" s="133" t="s">
        <v>527</v>
      </c>
      <c r="H55" s="110" t="s">
        <v>237</v>
      </c>
      <c r="I55" s="111" t="s">
        <v>2</v>
      </c>
      <c r="J55" s="133" t="s">
        <v>528</v>
      </c>
      <c r="K55" s="110" t="s">
        <v>142</v>
      </c>
      <c r="L55" s="121"/>
    </row>
    <row r="56" spans="1:13" ht="50.4">
      <c r="A56" s="120" t="s">
        <v>228</v>
      </c>
      <c r="B56" s="120" t="s">
        <v>229</v>
      </c>
      <c r="C56" s="120" t="s">
        <v>483</v>
      </c>
      <c r="D56" s="120" t="s">
        <v>230</v>
      </c>
      <c r="E56" s="120" t="s">
        <v>230</v>
      </c>
      <c r="F56" s="102" t="s">
        <v>2</v>
      </c>
      <c r="G56" s="133" t="s">
        <v>527</v>
      </c>
      <c r="H56" s="110" t="s">
        <v>237</v>
      </c>
      <c r="I56" s="111" t="s">
        <v>2</v>
      </c>
      <c r="J56" s="133" t="s">
        <v>528</v>
      </c>
      <c r="K56" s="110" t="s">
        <v>142</v>
      </c>
      <c r="L56" s="121"/>
    </row>
    <row r="57" spans="1:13" ht="100.8">
      <c r="A57" s="120" t="s">
        <v>231</v>
      </c>
      <c r="B57" s="120" t="s">
        <v>232</v>
      </c>
      <c r="C57" s="120" t="s">
        <v>484</v>
      </c>
      <c r="D57" s="120" t="s">
        <v>233</v>
      </c>
      <c r="E57" s="120" t="s">
        <v>233</v>
      </c>
      <c r="F57" s="102" t="s">
        <v>2</v>
      </c>
      <c r="G57" s="133" t="s">
        <v>527</v>
      </c>
      <c r="H57" s="110" t="s">
        <v>237</v>
      </c>
      <c r="I57" s="111" t="s">
        <v>2</v>
      </c>
      <c r="J57" s="133" t="s">
        <v>528</v>
      </c>
      <c r="K57" s="110" t="s">
        <v>142</v>
      </c>
      <c r="L57" s="121"/>
    </row>
    <row r="58" spans="1:13" ht="84">
      <c r="A58" s="120" t="s">
        <v>234</v>
      </c>
      <c r="B58" s="120" t="s">
        <v>235</v>
      </c>
      <c r="C58" s="120" t="s">
        <v>485</v>
      </c>
      <c r="D58" s="120" t="s">
        <v>236</v>
      </c>
      <c r="E58" s="120" t="s">
        <v>238</v>
      </c>
      <c r="F58" s="102" t="s">
        <v>2</v>
      </c>
      <c r="G58" s="133" t="s">
        <v>527</v>
      </c>
      <c r="H58" s="110" t="s">
        <v>237</v>
      </c>
      <c r="I58" s="111" t="s">
        <v>2</v>
      </c>
      <c r="J58" s="133" t="s">
        <v>528</v>
      </c>
      <c r="K58" s="110" t="s">
        <v>142</v>
      </c>
      <c r="L58" s="121"/>
    </row>
    <row r="63" spans="1:13">
      <c r="F63" s="109"/>
    </row>
    <row r="64" spans="1:13">
      <c r="F64" s="109"/>
    </row>
  </sheetData>
  <mergeCells count="11">
    <mergeCell ref="B1:F1"/>
    <mergeCell ref="B2:F2"/>
    <mergeCell ref="L34:L36"/>
    <mergeCell ref="F34:K34"/>
    <mergeCell ref="F35:H35"/>
    <mergeCell ref="I35:K35"/>
    <mergeCell ref="A34:A36"/>
    <mergeCell ref="B34:B36"/>
    <mergeCell ref="C34:C36"/>
    <mergeCell ref="D34:D36"/>
    <mergeCell ref="E34:E36"/>
  </mergeCells>
  <phoneticPr fontId="2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7"/>
  <sheetViews>
    <sheetView topLeftCell="C28" zoomScale="55" zoomScaleNormal="55" workbookViewId="0">
      <selection activeCell="C6" sqref="C6"/>
    </sheetView>
  </sheetViews>
  <sheetFormatPr defaultColWidth="33.109375" defaultRowHeight="16.8"/>
  <cols>
    <col min="1" max="1" width="15.6640625" style="8" bestFit="1" customWidth="1"/>
    <col min="2" max="2" width="13.88671875" style="8" bestFit="1" customWidth="1"/>
    <col min="3" max="3" width="12" style="8" bestFit="1" customWidth="1"/>
    <col min="4" max="4" width="20.33203125" style="8" bestFit="1" customWidth="1"/>
    <col min="5" max="5" width="17.6640625" style="8" bestFit="1" customWidth="1"/>
    <col min="6" max="6" width="20.6640625" style="8" bestFit="1" customWidth="1"/>
    <col min="7" max="7" width="16.6640625" style="8" bestFit="1" customWidth="1"/>
    <col min="8" max="8" width="17.88671875" style="8" bestFit="1" customWidth="1"/>
    <col min="9" max="9" width="12.6640625" style="8" bestFit="1" customWidth="1"/>
    <col min="10" max="10" width="16.6640625" style="8" bestFit="1" customWidth="1"/>
    <col min="11" max="11" width="17.88671875" style="8" bestFit="1" customWidth="1"/>
    <col min="12" max="12" width="10.6640625" style="8" bestFit="1" customWidth="1"/>
    <col min="13" max="16384" width="33.109375" style="8"/>
  </cols>
  <sheetData>
    <row r="1" spans="1:6">
      <c r="A1" s="81" t="s">
        <v>0</v>
      </c>
      <c r="B1" s="173" t="s">
        <v>119</v>
      </c>
      <c r="C1" s="174"/>
      <c r="D1" s="174"/>
      <c r="E1" s="174"/>
      <c r="F1" s="175"/>
    </row>
    <row r="2" spans="1:6">
      <c r="A2" s="81" t="s">
        <v>5</v>
      </c>
      <c r="B2" s="176" t="s">
        <v>49</v>
      </c>
      <c r="C2" s="177"/>
      <c r="D2" s="177"/>
      <c r="E2" s="177"/>
      <c r="F2" s="178"/>
    </row>
    <row r="3" spans="1:6">
      <c r="A3" s="69"/>
      <c r="B3" s="82" t="s">
        <v>23</v>
      </c>
      <c r="C3" s="82" t="s">
        <v>24</v>
      </c>
      <c r="D3" s="82" t="s">
        <v>33</v>
      </c>
      <c r="E3" s="83" t="s">
        <v>25</v>
      </c>
      <c r="F3" s="82" t="s">
        <v>43</v>
      </c>
    </row>
    <row r="4" spans="1:6">
      <c r="A4" s="70" t="s">
        <v>3</v>
      </c>
      <c r="B4" s="69">
        <v>21</v>
      </c>
      <c r="C4" s="69">
        <v>0</v>
      </c>
      <c r="D4" s="69">
        <v>0</v>
      </c>
      <c r="E4" s="69">
        <v>0</v>
      </c>
      <c r="F4" s="69">
        <v>21</v>
      </c>
    </row>
    <row r="5" spans="1:6">
      <c r="A5" s="70" t="s">
        <v>4</v>
      </c>
      <c r="B5" s="69">
        <v>21</v>
      </c>
      <c r="C5" s="69">
        <v>0</v>
      </c>
      <c r="D5" s="69">
        <v>0</v>
      </c>
      <c r="E5" s="71">
        <v>0</v>
      </c>
      <c r="F5" s="69">
        <v>21</v>
      </c>
    </row>
    <row r="42" spans="1:12">
      <c r="A42" s="157" t="s">
        <v>6</v>
      </c>
      <c r="B42" s="157" t="s">
        <v>12</v>
      </c>
      <c r="C42" s="157" t="s">
        <v>40</v>
      </c>
      <c r="D42" s="160" t="s">
        <v>41</v>
      </c>
      <c r="E42" s="157" t="s">
        <v>42</v>
      </c>
      <c r="F42" s="163" t="s">
        <v>34</v>
      </c>
      <c r="G42" s="164"/>
      <c r="H42" s="164"/>
      <c r="I42" s="164"/>
      <c r="J42" s="164"/>
      <c r="K42" s="165"/>
      <c r="L42" s="154" t="s">
        <v>35</v>
      </c>
    </row>
    <row r="43" spans="1:12">
      <c r="A43" s="158"/>
      <c r="B43" s="158"/>
      <c r="C43" s="158"/>
      <c r="D43" s="161"/>
      <c r="E43" s="158"/>
      <c r="F43" s="163" t="s">
        <v>15</v>
      </c>
      <c r="G43" s="164"/>
      <c r="H43" s="165"/>
      <c r="I43" s="163" t="s">
        <v>16</v>
      </c>
      <c r="J43" s="164"/>
      <c r="K43" s="165"/>
      <c r="L43" s="155"/>
    </row>
    <row r="44" spans="1:12">
      <c r="A44" s="159"/>
      <c r="B44" s="159"/>
      <c r="C44" s="159"/>
      <c r="D44" s="162"/>
      <c r="E44" s="159"/>
      <c r="F44" s="93" t="s">
        <v>36</v>
      </c>
      <c r="G44" s="80" t="s">
        <v>37</v>
      </c>
      <c r="H44" s="93" t="s">
        <v>38</v>
      </c>
      <c r="I44" s="93" t="s">
        <v>36</v>
      </c>
      <c r="J44" s="93" t="s">
        <v>37</v>
      </c>
      <c r="K44" s="93" t="s">
        <v>38</v>
      </c>
      <c r="L44" s="156"/>
    </row>
    <row r="45" spans="1:12">
      <c r="A45" s="150" t="s">
        <v>239</v>
      </c>
      <c r="B45" s="151"/>
      <c r="C45" s="151"/>
      <c r="D45" s="151"/>
      <c r="E45" s="151"/>
      <c r="F45" s="151"/>
      <c r="G45" s="151"/>
      <c r="H45" s="151"/>
      <c r="I45" s="151"/>
      <c r="J45" s="151"/>
      <c r="K45" s="151"/>
      <c r="L45" s="153"/>
    </row>
    <row r="46" spans="1:12" ht="50.4">
      <c r="A46" s="118" t="s">
        <v>241</v>
      </c>
      <c r="B46" s="118" t="s">
        <v>128</v>
      </c>
      <c r="C46" s="118" t="s">
        <v>242</v>
      </c>
      <c r="D46" s="118" t="s">
        <v>486</v>
      </c>
      <c r="E46" s="118" t="s">
        <v>486</v>
      </c>
      <c r="F46" s="74" t="s">
        <v>2</v>
      </c>
      <c r="G46" s="130" t="s">
        <v>529</v>
      </c>
      <c r="H46" s="74" t="s">
        <v>72</v>
      </c>
      <c r="I46" s="74" t="s">
        <v>2</v>
      </c>
      <c r="J46" s="130" t="s">
        <v>530</v>
      </c>
      <c r="K46" s="74" t="s">
        <v>73</v>
      </c>
      <c r="L46" s="69"/>
    </row>
    <row r="47" spans="1:12" ht="50.4">
      <c r="A47" s="118" t="s">
        <v>243</v>
      </c>
      <c r="B47" s="118" t="s">
        <v>244</v>
      </c>
      <c r="C47" s="118" t="s">
        <v>245</v>
      </c>
      <c r="D47" s="118" t="s">
        <v>487</v>
      </c>
      <c r="E47" s="118" t="s">
        <v>487</v>
      </c>
      <c r="F47" s="74" t="s">
        <v>2</v>
      </c>
      <c r="G47" s="133" t="s">
        <v>529</v>
      </c>
      <c r="H47" s="74" t="s">
        <v>72</v>
      </c>
      <c r="I47" s="74" t="s">
        <v>2</v>
      </c>
      <c r="J47" s="133" t="s">
        <v>530</v>
      </c>
      <c r="K47" s="74" t="s">
        <v>73</v>
      </c>
      <c r="L47" s="69"/>
    </row>
    <row r="48" spans="1:12" ht="50.4">
      <c r="A48" s="118" t="s">
        <v>246</v>
      </c>
      <c r="B48" s="118" t="s">
        <v>247</v>
      </c>
      <c r="C48" s="118" t="s">
        <v>248</v>
      </c>
      <c r="D48" s="118" t="s">
        <v>488</v>
      </c>
      <c r="E48" s="118" t="s">
        <v>488</v>
      </c>
      <c r="F48" s="74" t="s">
        <v>2</v>
      </c>
      <c r="G48" s="133" t="s">
        <v>529</v>
      </c>
      <c r="H48" s="74" t="s">
        <v>72</v>
      </c>
      <c r="I48" s="74" t="s">
        <v>2</v>
      </c>
      <c r="J48" s="133" t="s">
        <v>530</v>
      </c>
      <c r="K48" s="74" t="s">
        <v>73</v>
      </c>
      <c r="L48" s="69"/>
    </row>
    <row r="49" spans="1:12" ht="84">
      <c r="A49" s="118" t="s">
        <v>249</v>
      </c>
      <c r="B49" s="118" t="s">
        <v>250</v>
      </c>
      <c r="C49" s="118" t="s">
        <v>251</v>
      </c>
      <c r="D49" s="118" t="s">
        <v>252</v>
      </c>
      <c r="E49" s="118" t="s">
        <v>252</v>
      </c>
      <c r="F49" s="74" t="s">
        <v>2</v>
      </c>
      <c r="G49" s="133" t="s">
        <v>529</v>
      </c>
      <c r="H49" s="74" t="s">
        <v>72</v>
      </c>
      <c r="I49" s="74" t="s">
        <v>2</v>
      </c>
      <c r="J49" s="133" t="s">
        <v>530</v>
      </c>
      <c r="K49" s="74" t="s">
        <v>73</v>
      </c>
      <c r="L49" s="69"/>
    </row>
    <row r="50" spans="1:12" ht="84">
      <c r="A50" s="118" t="s">
        <v>253</v>
      </c>
      <c r="B50" s="118" t="s">
        <v>254</v>
      </c>
      <c r="C50" s="118" t="s">
        <v>255</v>
      </c>
      <c r="D50" s="118" t="s">
        <v>256</v>
      </c>
      <c r="E50" s="118" t="s">
        <v>256</v>
      </c>
      <c r="F50" s="74" t="s">
        <v>2</v>
      </c>
      <c r="G50" s="133" t="s">
        <v>529</v>
      </c>
      <c r="H50" s="74" t="s">
        <v>72</v>
      </c>
      <c r="I50" s="74" t="s">
        <v>2</v>
      </c>
      <c r="J50" s="133" t="s">
        <v>530</v>
      </c>
      <c r="K50" s="74" t="s">
        <v>73</v>
      </c>
      <c r="L50" s="69"/>
    </row>
    <row r="51" spans="1:12" ht="134.4">
      <c r="A51" s="118" t="s">
        <v>257</v>
      </c>
      <c r="B51" s="118" t="s">
        <v>258</v>
      </c>
      <c r="C51" s="118" t="s">
        <v>259</v>
      </c>
      <c r="D51" s="118" t="s">
        <v>260</v>
      </c>
      <c r="E51" s="118" t="s">
        <v>260</v>
      </c>
      <c r="F51" s="74" t="s">
        <v>2</v>
      </c>
      <c r="G51" s="133" t="s">
        <v>529</v>
      </c>
      <c r="H51" s="74" t="s">
        <v>72</v>
      </c>
      <c r="I51" s="74" t="s">
        <v>2</v>
      </c>
      <c r="J51" s="133" t="s">
        <v>530</v>
      </c>
      <c r="K51" s="74" t="s">
        <v>73</v>
      </c>
      <c r="L51" s="69"/>
    </row>
    <row r="52" spans="1:12" ht="67.2">
      <c r="A52" s="118" t="s">
        <v>261</v>
      </c>
      <c r="B52" s="118" t="s">
        <v>262</v>
      </c>
      <c r="C52" s="118" t="s">
        <v>263</v>
      </c>
      <c r="D52" s="118" t="s">
        <v>264</v>
      </c>
      <c r="E52" s="118" t="s">
        <v>264</v>
      </c>
      <c r="F52" s="74" t="s">
        <v>2</v>
      </c>
      <c r="G52" s="133" t="s">
        <v>529</v>
      </c>
      <c r="H52" s="74" t="s">
        <v>72</v>
      </c>
      <c r="I52" s="74" t="s">
        <v>2</v>
      </c>
      <c r="J52" s="133" t="s">
        <v>530</v>
      </c>
      <c r="K52" s="74" t="s">
        <v>73</v>
      </c>
      <c r="L52" s="69"/>
    </row>
    <row r="53" spans="1:12" ht="100.8">
      <c r="A53" s="118" t="s">
        <v>265</v>
      </c>
      <c r="B53" s="118" t="s">
        <v>266</v>
      </c>
      <c r="C53" s="118" t="s">
        <v>267</v>
      </c>
      <c r="D53" s="118" t="s">
        <v>489</v>
      </c>
      <c r="E53" s="118" t="s">
        <v>489</v>
      </c>
      <c r="F53" s="74" t="s">
        <v>2</v>
      </c>
      <c r="G53" s="133" t="s">
        <v>529</v>
      </c>
      <c r="H53" s="74" t="s">
        <v>72</v>
      </c>
      <c r="I53" s="74" t="s">
        <v>2</v>
      </c>
      <c r="J53" s="133" t="s">
        <v>530</v>
      </c>
      <c r="K53" s="74" t="s">
        <v>73</v>
      </c>
      <c r="L53" s="69"/>
    </row>
    <row r="54" spans="1:12" ht="67.2">
      <c r="A54" s="118" t="s">
        <v>268</v>
      </c>
      <c r="B54" s="118" t="s">
        <v>269</v>
      </c>
      <c r="C54" s="118" t="s">
        <v>270</v>
      </c>
      <c r="D54" s="118" t="s">
        <v>271</v>
      </c>
      <c r="E54" s="118" t="s">
        <v>271</v>
      </c>
      <c r="F54" s="74" t="s">
        <v>2</v>
      </c>
      <c r="G54" s="133" t="s">
        <v>529</v>
      </c>
      <c r="H54" s="74" t="s">
        <v>72</v>
      </c>
      <c r="I54" s="74" t="s">
        <v>2</v>
      </c>
      <c r="J54" s="133" t="s">
        <v>530</v>
      </c>
      <c r="K54" s="74" t="s">
        <v>73</v>
      </c>
      <c r="L54" s="69"/>
    </row>
    <row r="55" spans="1:12" ht="50.4">
      <c r="A55" s="118" t="s">
        <v>272</v>
      </c>
      <c r="B55" s="118" t="s">
        <v>273</v>
      </c>
      <c r="C55" s="118" t="s">
        <v>274</v>
      </c>
      <c r="D55" s="118" t="s">
        <v>490</v>
      </c>
      <c r="E55" s="118" t="s">
        <v>490</v>
      </c>
      <c r="F55" s="74" t="s">
        <v>2</v>
      </c>
      <c r="G55" s="133" t="s">
        <v>529</v>
      </c>
      <c r="H55" s="74" t="s">
        <v>72</v>
      </c>
      <c r="I55" s="74" t="s">
        <v>2</v>
      </c>
      <c r="J55" s="133" t="s">
        <v>530</v>
      </c>
      <c r="K55" s="74" t="s">
        <v>73</v>
      </c>
      <c r="L55" s="69"/>
    </row>
    <row r="56" spans="1:12" ht="50.4">
      <c r="A56" s="118" t="s">
        <v>275</v>
      </c>
      <c r="B56" s="118" t="s">
        <v>276</v>
      </c>
      <c r="C56" s="118" t="s">
        <v>277</v>
      </c>
      <c r="D56" s="118" t="s">
        <v>491</v>
      </c>
      <c r="E56" s="118" t="s">
        <v>491</v>
      </c>
      <c r="F56" s="74" t="s">
        <v>2</v>
      </c>
      <c r="G56" s="133" t="s">
        <v>529</v>
      </c>
      <c r="H56" s="74" t="s">
        <v>72</v>
      </c>
      <c r="I56" s="74" t="s">
        <v>2</v>
      </c>
      <c r="J56" s="133" t="s">
        <v>530</v>
      </c>
      <c r="K56" s="74" t="s">
        <v>73</v>
      </c>
      <c r="L56" s="74"/>
    </row>
    <row r="57" spans="1:12">
      <c r="A57" s="179" t="s">
        <v>240</v>
      </c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1"/>
    </row>
    <row r="58" spans="1:12" ht="84">
      <c r="A58" s="118" t="s">
        <v>278</v>
      </c>
      <c r="B58" s="118" t="s">
        <v>279</v>
      </c>
      <c r="C58" s="118" t="s">
        <v>280</v>
      </c>
      <c r="D58" s="118" t="s">
        <v>281</v>
      </c>
      <c r="E58" s="118" t="s">
        <v>281</v>
      </c>
      <c r="F58" s="76" t="s">
        <v>2</v>
      </c>
      <c r="G58" s="133" t="s">
        <v>529</v>
      </c>
      <c r="H58" s="74" t="s">
        <v>72</v>
      </c>
      <c r="I58" s="74" t="s">
        <v>2</v>
      </c>
      <c r="J58" s="133" t="s">
        <v>530</v>
      </c>
      <c r="K58" s="74" t="s">
        <v>73</v>
      </c>
      <c r="L58" s="69"/>
    </row>
    <row r="59" spans="1:12" ht="100.8">
      <c r="A59" s="118" t="s">
        <v>282</v>
      </c>
      <c r="B59" s="118" t="s">
        <v>283</v>
      </c>
      <c r="C59" s="118" t="s">
        <v>284</v>
      </c>
      <c r="D59" s="118" t="s">
        <v>285</v>
      </c>
      <c r="E59" s="118" t="s">
        <v>285</v>
      </c>
      <c r="F59" s="76" t="s">
        <v>2</v>
      </c>
      <c r="G59" s="133" t="s">
        <v>529</v>
      </c>
      <c r="H59" s="74" t="s">
        <v>72</v>
      </c>
      <c r="I59" s="74" t="s">
        <v>2</v>
      </c>
      <c r="J59" s="133" t="s">
        <v>530</v>
      </c>
      <c r="K59" s="74" t="s">
        <v>73</v>
      </c>
      <c r="L59" s="69"/>
    </row>
    <row r="60" spans="1:12" ht="67.2">
      <c r="A60" s="118" t="s">
        <v>286</v>
      </c>
      <c r="B60" s="118" t="s">
        <v>287</v>
      </c>
      <c r="C60" s="118" t="s">
        <v>492</v>
      </c>
      <c r="D60" s="118" t="s">
        <v>288</v>
      </c>
      <c r="E60" s="118" t="s">
        <v>288</v>
      </c>
      <c r="F60" s="76" t="s">
        <v>2</v>
      </c>
      <c r="G60" s="133" t="s">
        <v>529</v>
      </c>
      <c r="H60" s="74" t="s">
        <v>72</v>
      </c>
      <c r="I60" s="74" t="s">
        <v>2</v>
      </c>
      <c r="J60" s="133" t="s">
        <v>530</v>
      </c>
      <c r="K60" s="74" t="s">
        <v>73</v>
      </c>
      <c r="L60" s="69"/>
    </row>
    <row r="61" spans="1:12" ht="50.4">
      <c r="A61" s="118" t="s">
        <v>289</v>
      </c>
      <c r="B61" s="118" t="s">
        <v>290</v>
      </c>
      <c r="C61" s="118" t="s">
        <v>291</v>
      </c>
      <c r="D61" s="118" t="s">
        <v>292</v>
      </c>
      <c r="E61" s="118" t="s">
        <v>292</v>
      </c>
      <c r="F61" s="76" t="s">
        <v>2</v>
      </c>
      <c r="G61" s="133" t="s">
        <v>529</v>
      </c>
      <c r="H61" s="74" t="s">
        <v>72</v>
      </c>
      <c r="I61" s="74" t="s">
        <v>2</v>
      </c>
      <c r="J61" s="133" t="s">
        <v>530</v>
      </c>
      <c r="K61" s="74" t="s">
        <v>73</v>
      </c>
      <c r="L61" s="69"/>
    </row>
    <row r="62" spans="1:12" ht="50.4">
      <c r="A62" s="118" t="s">
        <v>293</v>
      </c>
      <c r="B62" s="118" t="s">
        <v>294</v>
      </c>
      <c r="C62" s="118" t="s">
        <v>295</v>
      </c>
      <c r="D62" s="118" t="s">
        <v>296</v>
      </c>
      <c r="E62" s="118" t="s">
        <v>296</v>
      </c>
      <c r="F62" s="76" t="s">
        <v>2</v>
      </c>
      <c r="G62" s="133" t="s">
        <v>529</v>
      </c>
      <c r="H62" s="74" t="s">
        <v>72</v>
      </c>
      <c r="I62" s="74" t="s">
        <v>2</v>
      </c>
      <c r="J62" s="133" t="s">
        <v>530</v>
      </c>
      <c r="K62" s="74" t="s">
        <v>73</v>
      </c>
      <c r="L62" s="69"/>
    </row>
    <row r="63" spans="1:12" ht="67.2">
      <c r="A63" s="118" t="s">
        <v>297</v>
      </c>
      <c r="B63" s="118" t="s">
        <v>298</v>
      </c>
      <c r="C63" s="118" t="s">
        <v>299</v>
      </c>
      <c r="D63" s="118" t="s">
        <v>300</v>
      </c>
      <c r="E63" s="118" t="s">
        <v>300</v>
      </c>
      <c r="F63" s="76" t="s">
        <v>2</v>
      </c>
      <c r="G63" s="133" t="s">
        <v>529</v>
      </c>
      <c r="H63" s="74" t="s">
        <v>72</v>
      </c>
      <c r="I63" s="74" t="s">
        <v>2</v>
      </c>
      <c r="J63" s="133" t="s">
        <v>530</v>
      </c>
      <c r="K63" s="74" t="s">
        <v>73</v>
      </c>
      <c r="L63" s="69"/>
    </row>
    <row r="64" spans="1:12" ht="67.2">
      <c r="A64" s="118" t="s">
        <v>301</v>
      </c>
      <c r="B64" s="118" t="s">
        <v>302</v>
      </c>
      <c r="C64" s="118" t="s">
        <v>493</v>
      </c>
      <c r="D64" s="118" t="s">
        <v>303</v>
      </c>
      <c r="E64" s="118" t="s">
        <v>303</v>
      </c>
      <c r="F64" s="76" t="s">
        <v>2</v>
      </c>
      <c r="G64" s="133" t="s">
        <v>529</v>
      </c>
      <c r="H64" s="74" t="s">
        <v>72</v>
      </c>
      <c r="I64" s="74" t="s">
        <v>2</v>
      </c>
      <c r="J64" s="133" t="s">
        <v>530</v>
      </c>
      <c r="K64" s="74" t="s">
        <v>73</v>
      </c>
      <c r="L64" s="69"/>
    </row>
    <row r="65" spans="1:12" ht="84">
      <c r="A65" s="118" t="s">
        <v>304</v>
      </c>
      <c r="B65" s="118" t="s">
        <v>305</v>
      </c>
      <c r="C65" s="118" t="s">
        <v>494</v>
      </c>
      <c r="D65" s="118" t="s">
        <v>306</v>
      </c>
      <c r="E65" s="118" t="s">
        <v>306</v>
      </c>
      <c r="F65" s="76" t="s">
        <v>2</v>
      </c>
      <c r="G65" s="133" t="s">
        <v>529</v>
      </c>
      <c r="H65" s="74" t="s">
        <v>72</v>
      </c>
      <c r="I65" s="74" t="s">
        <v>2</v>
      </c>
      <c r="J65" s="133" t="s">
        <v>530</v>
      </c>
      <c r="K65" s="74" t="s">
        <v>73</v>
      </c>
      <c r="L65" s="69"/>
    </row>
    <row r="66" spans="1:12" ht="50.4">
      <c r="A66" s="118" t="s">
        <v>307</v>
      </c>
      <c r="B66" s="118" t="s">
        <v>276</v>
      </c>
      <c r="C66" s="118" t="s">
        <v>495</v>
      </c>
      <c r="D66" s="118" t="s">
        <v>308</v>
      </c>
      <c r="E66" s="118" t="s">
        <v>312</v>
      </c>
      <c r="F66" s="76" t="s">
        <v>2</v>
      </c>
      <c r="G66" s="133" t="s">
        <v>529</v>
      </c>
      <c r="H66" s="74" t="s">
        <v>72</v>
      </c>
      <c r="I66" s="74" t="s">
        <v>2</v>
      </c>
      <c r="J66" s="133" t="s">
        <v>530</v>
      </c>
      <c r="K66" s="74" t="s">
        <v>73</v>
      </c>
      <c r="L66" s="69"/>
    </row>
    <row r="67" spans="1:12" ht="50.4">
      <c r="A67" s="118" t="s">
        <v>309</v>
      </c>
      <c r="B67" s="118" t="s">
        <v>310</v>
      </c>
      <c r="C67" s="118" t="s">
        <v>311</v>
      </c>
      <c r="D67" s="118" t="s">
        <v>496</v>
      </c>
      <c r="E67" s="118" t="s">
        <v>496</v>
      </c>
      <c r="F67" s="76" t="s">
        <v>2</v>
      </c>
      <c r="G67" s="133" t="s">
        <v>529</v>
      </c>
      <c r="H67" s="74" t="s">
        <v>72</v>
      </c>
      <c r="I67" s="74" t="s">
        <v>2</v>
      </c>
      <c r="J67" s="133" t="s">
        <v>530</v>
      </c>
      <c r="K67" s="74" t="s">
        <v>73</v>
      </c>
      <c r="L67" s="69"/>
    </row>
  </sheetData>
  <mergeCells count="13">
    <mergeCell ref="L42:L44"/>
    <mergeCell ref="F43:H43"/>
    <mergeCell ref="I43:K43"/>
    <mergeCell ref="A45:L45"/>
    <mergeCell ref="A57:L57"/>
    <mergeCell ref="B1:F1"/>
    <mergeCell ref="B2:F2"/>
    <mergeCell ref="A42:A44"/>
    <mergeCell ref="B42:B44"/>
    <mergeCell ref="C42:C44"/>
    <mergeCell ref="D42:D44"/>
    <mergeCell ref="E42:E44"/>
    <mergeCell ref="F42:K42"/>
  </mergeCells>
  <phoneticPr fontId="22" type="noConversion"/>
  <dataValidations count="1">
    <dataValidation type="list" operator="equal" allowBlank="1" showErrorMessage="1" promptTitle="dfdf" sqref="F46:F56 F58:F67 I46:I56 I58:I67" xr:uid="{00000000-0002-0000-05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1"/>
  <sheetViews>
    <sheetView zoomScale="55" zoomScaleNormal="55" workbookViewId="0">
      <selection activeCell="A6" sqref="A6"/>
    </sheetView>
  </sheetViews>
  <sheetFormatPr defaultColWidth="8.88671875" defaultRowHeight="16.8"/>
  <cols>
    <col min="1" max="1" width="35.6640625" style="8" bestFit="1" customWidth="1"/>
    <col min="2" max="2" width="57.33203125" style="8" bestFit="1" customWidth="1"/>
    <col min="3" max="3" width="67.44140625" style="8" bestFit="1" customWidth="1"/>
    <col min="4" max="4" width="63.33203125" style="8" bestFit="1" customWidth="1"/>
    <col min="5" max="5" width="45.33203125" style="8" bestFit="1" customWidth="1"/>
    <col min="6" max="6" width="20" style="8" bestFit="1" customWidth="1"/>
    <col min="7" max="7" width="15.88671875" style="8" bestFit="1" customWidth="1"/>
    <col min="8" max="8" width="17" style="8" bestFit="1" customWidth="1"/>
    <col min="9" max="9" width="12.109375" style="8" bestFit="1" customWidth="1"/>
    <col min="10" max="10" width="15.88671875" style="8" bestFit="1" customWidth="1"/>
    <col min="11" max="11" width="17" style="8" bestFit="1" customWidth="1"/>
    <col min="12" max="12" width="10.6640625" style="8" bestFit="1" customWidth="1"/>
    <col min="13" max="16384" width="8.88671875" style="8"/>
  </cols>
  <sheetData>
    <row r="1" spans="1:6">
      <c r="A1" s="81" t="s">
        <v>0</v>
      </c>
      <c r="B1" s="145" t="s">
        <v>119</v>
      </c>
      <c r="C1" s="145"/>
      <c r="D1" s="145"/>
      <c r="E1" s="145"/>
      <c r="F1" s="145"/>
    </row>
    <row r="2" spans="1:6">
      <c r="A2" s="81" t="s">
        <v>5</v>
      </c>
      <c r="B2" s="146" t="s">
        <v>68</v>
      </c>
      <c r="C2" s="146"/>
      <c r="D2" s="146"/>
      <c r="E2" s="146"/>
      <c r="F2" s="146"/>
    </row>
    <row r="3" spans="1:6">
      <c r="A3" s="69"/>
      <c r="B3" s="82" t="s">
        <v>23</v>
      </c>
      <c r="C3" s="82" t="s">
        <v>24</v>
      </c>
      <c r="D3" s="82" t="s">
        <v>33</v>
      </c>
      <c r="E3" s="83" t="s">
        <v>25</v>
      </c>
      <c r="F3" s="82" t="s">
        <v>43</v>
      </c>
    </row>
    <row r="4" spans="1:6">
      <c r="A4" s="70" t="s">
        <v>3</v>
      </c>
      <c r="B4" s="69">
        <v>15</v>
      </c>
      <c r="C4" s="69">
        <v>1</v>
      </c>
      <c r="D4" s="69">
        <v>0</v>
      </c>
      <c r="E4" s="69">
        <v>0</v>
      </c>
      <c r="F4" s="69">
        <v>15</v>
      </c>
    </row>
    <row r="5" spans="1:6">
      <c r="A5" s="70" t="s">
        <v>4</v>
      </c>
      <c r="B5" s="69">
        <v>15</v>
      </c>
      <c r="C5" s="69">
        <v>1</v>
      </c>
      <c r="D5" s="69">
        <v>0</v>
      </c>
      <c r="E5" s="71">
        <v>0</v>
      </c>
      <c r="F5" s="69">
        <v>15</v>
      </c>
    </row>
    <row r="32" spans="1:12">
      <c r="A32" s="147" t="s">
        <v>6</v>
      </c>
      <c r="B32" s="147" t="s">
        <v>12</v>
      </c>
      <c r="C32" s="147" t="s">
        <v>40</v>
      </c>
      <c r="D32" s="148" t="s">
        <v>41</v>
      </c>
      <c r="E32" s="147" t="s">
        <v>42</v>
      </c>
      <c r="F32" s="166" t="s">
        <v>34</v>
      </c>
      <c r="G32" s="166"/>
      <c r="H32" s="166"/>
      <c r="I32" s="166"/>
      <c r="J32" s="166"/>
      <c r="K32" s="166"/>
      <c r="L32" s="166" t="s">
        <v>35</v>
      </c>
    </row>
    <row r="33" spans="1:13">
      <c r="A33" s="147"/>
      <c r="B33" s="147"/>
      <c r="C33" s="147"/>
      <c r="D33" s="148"/>
      <c r="E33" s="147"/>
      <c r="F33" s="166" t="s">
        <v>15</v>
      </c>
      <c r="G33" s="166"/>
      <c r="H33" s="166"/>
      <c r="I33" s="166" t="s">
        <v>16</v>
      </c>
      <c r="J33" s="166"/>
      <c r="K33" s="166"/>
      <c r="L33" s="166"/>
      <c r="M33" s="122"/>
    </row>
    <row r="34" spans="1:13">
      <c r="A34" s="147"/>
      <c r="B34" s="147"/>
      <c r="C34" s="147"/>
      <c r="D34" s="148"/>
      <c r="E34" s="147"/>
      <c r="F34" s="93" t="s">
        <v>36</v>
      </c>
      <c r="G34" s="80" t="s">
        <v>37</v>
      </c>
      <c r="H34" s="93" t="s">
        <v>38</v>
      </c>
      <c r="I34" s="93" t="s">
        <v>36</v>
      </c>
      <c r="J34" s="93" t="s">
        <v>37</v>
      </c>
      <c r="K34" s="93" t="s">
        <v>38</v>
      </c>
      <c r="L34" s="166"/>
      <c r="M34" s="122"/>
    </row>
    <row r="35" spans="1:13">
      <c r="A35" s="150" t="s">
        <v>122</v>
      </c>
      <c r="B35" s="151"/>
      <c r="C35" s="151"/>
      <c r="D35" s="151"/>
      <c r="E35" s="151"/>
      <c r="F35" s="151"/>
      <c r="G35" s="152"/>
      <c r="H35" s="151"/>
      <c r="I35" s="151"/>
      <c r="J35" s="152"/>
      <c r="K35" s="151"/>
      <c r="L35" s="153"/>
    </row>
    <row r="36" spans="1:13" ht="33.6">
      <c r="A36" s="118" t="s">
        <v>123</v>
      </c>
      <c r="B36" s="118" t="s">
        <v>128</v>
      </c>
      <c r="C36" s="118" t="s">
        <v>497</v>
      </c>
      <c r="D36" s="118" t="s">
        <v>498</v>
      </c>
      <c r="E36" s="118" t="s">
        <v>498</v>
      </c>
      <c r="F36" s="124" t="s">
        <v>2</v>
      </c>
      <c r="G36" s="134" t="s">
        <v>531</v>
      </c>
      <c r="H36" s="125" t="s">
        <v>142</v>
      </c>
      <c r="I36" s="124" t="s">
        <v>2</v>
      </c>
      <c r="J36" s="134" t="s">
        <v>532</v>
      </c>
      <c r="K36" s="125" t="s">
        <v>72</v>
      </c>
      <c r="L36" s="69"/>
    </row>
    <row r="37" spans="1:13" ht="33.6">
      <c r="A37" s="118" t="s">
        <v>124</v>
      </c>
      <c r="B37" s="118" t="s">
        <v>129</v>
      </c>
      <c r="C37" s="118" t="s">
        <v>499</v>
      </c>
      <c r="D37" s="118" t="s">
        <v>500</v>
      </c>
      <c r="E37" s="118" t="s">
        <v>500</v>
      </c>
      <c r="F37" s="124" t="s">
        <v>2</v>
      </c>
      <c r="G37" s="134" t="s">
        <v>531</v>
      </c>
      <c r="H37" s="125" t="s">
        <v>142</v>
      </c>
      <c r="I37" s="74" t="s">
        <v>2</v>
      </c>
      <c r="J37" s="134" t="s">
        <v>532</v>
      </c>
      <c r="K37" s="74" t="s">
        <v>72</v>
      </c>
      <c r="L37" s="69"/>
    </row>
    <row r="38" spans="1:13">
      <c r="A38" s="118" t="s">
        <v>125</v>
      </c>
      <c r="B38" s="118" t="s">
        <v>130</v>
      </c>
      <c r="C38" s="118" t="s">
        <v>499</v>
      </c>
      <c r="D38" s="118" t="s">
        <v>501</v>
      </c>
      <c r="E38" s="118" t="s">
        <v>501</v>
      </c>
      <c r="F38" s="124" t="s">
        <v>2</v>
      </c>
      <c r="G38" s="134" t="s">
        <v>531</v>
      </c>
      <c r="H38" s="125" t="s">
        <v>142</v>
      </c>
      <c r="I38" s="74" t="s">
        <v>2</v>
      </c>
      <c r="J38" s="134" t="s">
        <v>532</v>
      </c>
      <c r="K38" s="74" t="s">
        <v>72</v>
      </c>
      <c r="L38" s="69"/>
    </row>
    <row r="39" spans="1:13" ht="33.6">
      <c r="A39" s="118" t="s">
        <v>126</v>
      </c>
      <c r="B39" s="118" t="s">
        <v>131</v>
      </c>
      <c r="C39" s="118" t="s">
        <v>499</v>
      </c>
      <c r="D39" s="118" t="s">
        <v>132</v>
      </c>
      <c r="E39" s="118" t="s">
        <v>132</v>
      </c>
      <c r="F39" s="124" t="s">
        <v>2</v>
      </c>
      <c r="G39" s="134" t="s">
        <v>531</v>
      </c>
      <c r="H39" s="125" t="s">
        <v>142</v>
      </c>
      <c r="I39" s="74" t="s">
        <v>2</v>
      </c>
      <c r="J39" s="134" t="s">
        <v>532</v>
      </c>
      <c r="K39" s="74" t="s">
        <v>72</v>
      </c>
      <c r="L39" s="69"/>
    </row>
    <row r="40" spans="1:13" ht="33.6">
      <c r="A40" s="118" t="s">
        <v>127</v>
      </c>
      <c r="B40" s="118" t="s">
        <v>133</v>
      </c>
      <c r="C40" s="118" t="s">
        <v>499</v>
      </c>
      <c r="D40" s="118" t="s">
        <v>502</v>
      </c>
      <c r="E40" s="118" t="s">
        <v>502</v>
      </c>
      <c r="F40" s="124" t="s">
        <v>2</v>
      </c>
      <c r="G40" s="134" t="s">
        <v>531</v>
      </c>
      <c r="H40" s="125" t="s">
        <v>142</v>
      </c>
      <c r="I40" s="74" t="s">
        <v>2</v>
      </c>
      <c r="J40" s="134" t="s">
        <v>532</v>
      </c>
      <c r="K40" s="74" t="s">
        <v>72</v>
      </c>
      <c r="L40" s="74"/>
    </row>
    <row r="41" spans="1:13" ht="33.6">
      <c r="A41" s="118" t="s">
        <v>134</v>
      </c>
      <c r="B41" s="118" t="s">
        <v>135</v>
      </c>
      <c r="C41" s="118" t="s">
        <v>136</v>
      </c>
      <c r="D41" s="118" t="s">
        <v>137</v>
      </c>
      <c r="E41" s="118" t="s">
        <v>137</v>
      </c>
      <c r="F41" s="124" t="s">
        <v>2</v>
      </c>
      <c r="G41" s="134" t="s">
        <v>531</v>
      </c>
      <c r="H41" s="125" t="s">
        <v>142</v>
      </c>
      <c r="I41" s="74" t="s">
        <v>2</v>
      </c>
      <c r="J41" s="134" t="s">
        <v>532</v>
      </c>
      <c r="K41" s="74" t="s">
        <v>72</v>
      </c>
      <c r="L41" s="74"/>
    </row>
    <row r="42" spans="1:13" ht="33.6">
      <c r="A42" s="118" t="s">
        <v>138</v>
      </c>
      <c r="B42" s="118" t="s">
        <v>139</v>
      </c>
      <c r="C42" s="118" t="s">
        <v>140</v>
      </c>
      <c r="D42" s="118" t="s">
        <v>141</v>
      </c>
      <c r="E42" s="118" t="s">
        <v>141</v>
      </c>
      <c r="F42" s="124" t="s">
        <v>2</v>
      </c>
      <c r="G42" s="134" t="s">
        <v>531</v>
      </c>
      <c r="H42" s="125" t="s">
        <v>142</v>
      </c>
      <c r="I42" s="74" t="s">
        <v>2</v>
      </c>
      <c r="J42" s="134" t="s">
        <v>532</v>
      </c>
      <c r="K42" s="74" t="s">
        <v>72</v>
      </c>
      <c r="L42" s="69"/>
    </row>
    <row r="43" spans="1:13">
      <c r="A43" s="112" t="s">
        <v>143</v>
      </c>
      <c r="B43" s="113"/>
      <c r="C43" s="113"/>
      <c r="D43" s="113"/>
      <c r="E43" s="113"/>
      <c r="F43" s="113"/>
      <c r="G43" s="135"/>
      <c r="H43" s="113"/>
      <c r="I43" s="113"/>
      <c r="J43" s="113"/>
      <c r="K43" s="113"/>
      <c r="L43" s="114"/>
    </row>
    <row r="44" spans="1:13" ht="33.6">
      <c r="A44" s="118" t="s">
        <v>144</v>
      </c>
      <c r="B44" s="118" t="s">
        <v>145</v>
      </c>
      <c r="C44" s="118" t="s">
        <v>503</v>
      </c>
      <c r="D44" s="118" t="s">
        <v>146</v>
      </c>
      <c r="E44" s="118" t="s">
        <v>146</v>
      </c>
      <c r="F44" s="127" t="s">
        <v>2</v>
      </c>
      <c r="G44" s="134" t="s">
        <v>531</v>
      </c>
      <c r="H44" s="125" t="s">
        <v>142</v>
      </c>
      <c r="I44" s="74" t="s">
        <v>2</v>
      </c>
      <c r="J44" s="134" t="s">
        <v>532</v>
      </c>
      <c r="K44" s="74" t="s">
        <v>72</v>
      </c>
      <c r="L44" s="69"/>
    </row>
    <row r="45" spans="1:13">
      <c r="A45" s="118" t="s">
        <v>147</v>
      </c>
      <c r="B45" s="118" t="s">
        <v>148</v>
      </c>
      <c r="C45" s="118" t="s">
        <v>504</v>
      </c>
      <c r="D45" s="118" t="s">
        <v>149</v>
      </c>
      <c r="E45" s="118" t="s">
        <v>149</v>
      </c>
      <c r="F45" s="127" t="s">
        <v>2</v>
      </c>
      <c r="G45" s="134" t="s">
        <v>531</v>
      </c>
      <c r="H45" s="125" t="s">
        <v>142</v>
      </c>
      <c r="I45" s="74" t="s">
        <v>2</v>
      </c>
      <c r="J45" s="134" t="s">
        <v>532</v>
      </c>
      <c r="K45" s="74" t="s">
        <v>72</v>
      </c>
      <c r="L45" s="69"/>
    </row>
    <row r="46" spans="1:13" ht="33.6">
      <c r="A46" s="118" t="s">
        <v>150</v>
      </c>
      <c r="B46" s="118" t="s">
        <v>151</v>
      </c>
      <c r="C46" s="118" t="s">
        <v>505</v>
      </c>
      <c r="D46" s="118" t="s">
        <v>152</v>
      </c>
      <c r="E46" s="118" t="s">
        <v>152</v>
      </c>
      <c r="F46" s="127" t="s">
        <v>2</v>
      </c>
      <c r="G46" s="134" t="s">
        <v>531</v>
      </c>
      <c r="H46" s="125" t="s">
        <v>142</v>
      </c>
      <c r="I46" s="74" t="s">
        <v>2</v>
      </c>
      <c r="J46" s="134" t="s">
        <v>532</v>
      </c>
      <c r="K46" s="74" t="s">
        <v>72</v>
      </c>
      <c r="L46" s="69"/>
    </row>
    <row r="47" spans="1:13" ht="33.6">
      <c r="A47" s="118" t="s">
        <v>153</v>
      </c>
      <c r="B47" s="118" t="s">
        <v>154</v>
      </c>
      <c r="C47" s="118" t="s">
        <v>506</v>
      </c>
      <c r="D47" s="118" t="s">
        <v>155</v>
      </c>
      <c r="E47" s="118" t="s">
        <v>155</v>
      </c>
      <c r="F47" s="127" t="s">
        <v>2</v>
      </c>
      <c r="G47" s="134" t="s">
        <v>531</v>
      </c>
      <c r="H47" s="125" t="s">
        <v>142</v>
      </c>
      <c r="I47" s="74" t="s">
        <v>2</v>
      </c>
      <c r="J47" s="134" t="s">
        <v>532</v>
      </c>
      <c r="K47" s="74" t="s">
        <v>72</v>
      </c>
      <c r="L47" s="69"/>
    </row>
    <row r="48" spans="1:13" ht="33.6">
      <c r="A48" s="118" t="s">
        <v>156</v>
      </c>
      <c r="B48" s="118" t="s">
        <v>157</v>
      </c>
      <c r="C48" s="118" t="s">
        <v>507</v>
      </c>
      <c r="D48" s="118" t="s">
        <v>158</v>
      </c>
      <c r="E48" s="118" t="s">
        <v>158</v>
      </c>
      <c r="F48" s="127" t="s">
        <v>2</v>
      </c>
      <c r="G48" s="134" t="s">
        <v>531</v>
      </c>
      <c r="H48" s="125" t="s">
        <v>142</v>
      </c>
      <c r="I48" s="74" t="s">
        <v>2</v>
      </c>
      <c r="J48" s="134" t="s">
        <v>532</v>
      </c>
      <c r="K48" s="74" t="s">
        <v>72</v>
      </c>
      <c r="L48" s="69"/>
    </row>
    <row r="49" spans="1:12" ht="33.6">
      <c r="A49" s="118" t="s">
        <v>159</v>
      </c>
      <c r="B49" s="118" t="s">
        <v>160</v>
      </c>
      <c r="C49" s="118" t="s">
        <v>508</v>
      </c>
      <c r="D49" s="118" t="s">
        <v>161</v>
      </c>
      <c r="E49" s="118" t="s">
        <v>161</v>
      </c>
      <c r="F49" s="127" t="s">
        <v>2</v>
      </c>
      <c r="G49" s="134" t="s">
        <v>531</v>
      </c>
      <c r="H49" s="125" t="s">
        <v>142</v>
      </c>
      <c r="I49" s="74" t="s">
        <v>2</v>
      </c>
      <c r="J49" s="134" t="s">
        <v>532</v>
      </c>
      <c r="K49" s="74" t="s">
        <v>72</v>
      </c>
      <c r="L49" s="69"/>
    </row>
    <row r="50" spans="1:12" ht="33.6">
      <c r="A50" s="118" t="s">
        <v>162</v>
      </c>
      <c r="B50" s="118" t="s">
        <v>163</v>
      </c>
      <c r="C50" s="118" t="s">
        <v>164</v>
      </c>
      <c r="D50" s="118" t="s">
        <v>165</v>
      </c>
      <c r="E50" s="118" t="s">
        <v>165</v>
      </c>
      <c r="F50" s="127" t="s">
        <v>2</v>
      </c>
      <c r="G50" s="134" t="s">
        <v>531</v>
      </c>
      <c r="H50" s="125" t="s">
        <v>142</v>
      </c>
      <c r="I50" s="74" t="s">
        <v>2</v>
      </c>
      <c r="J50" s="134" t="s">
        <v>532</v>
      </c>
      <c r="K50" s="74" t="s">
        <v>72</v>
      </c>
      <c r="L50" s="69"/>
    </row>
    <row r="51" spans="1:12">
      <c r="A51" s="118" t="s">
        <v>166</v>
      </c>
      <c r="B51" s="118" t="s">
        <v>167</v>
      </c>
      <c r="C51" s="118" t="s">
        <v>168</v>
      </c>
      <c r="D51" s="118" t="s">
        <v>169</v>
      </c>
      <c r="E51" s="118" t="s">
        <v>171</v>
      </c>
      <c r="F51" s="127" t="s">
        <v>170</v>
      </c>
      <c r="G51" s="134" t="s">
        <v>531</v>
      </c>
      <c r="H51" s="125" t="s">
        <v>142</v>
      </c>
      <c r="I51" s="74" t="s">
        <v>170</v>
      </c>
      <c r="J51" s="134" t="s">
        <v>532</v>
      </c>
      <c r="K51" s="74" t="s">
        <v>72</v>
      </c>
      <c r="L51" s="69"/>
    </row>
  </sheetData>
  <mergeCells count="12">
    <mergeCell ref="L32:L34"/>
    <mergeCell ref="F33:H33"/>
    <mergeCell ref="I33:K33"/>
    <mergeCell ref="A35:L35"/>
    <mergeCell ref="B1:F1"/>
    <mergeCell ref="B2:F2"/>
    <mergeCell ref="A32:A34"/>
    <mergeCell ref="B32:B34"/>
    <mergeCell ref="C32:C34"/>
    <mergeCell ref="D32:D34"/>
    <mergeCell ref="E32:E34"/>
    <mergeCell ref="F32:K32"/>
  </mergeCells>
  <phoneticPr fontId="22" type="noConversion"/>
  <dataValidations count="1">
    <dataValidation type="list" operator="equal" allowBlank="1" showErrorMessage="1" promptTitle="dfdf" sqref="F36:F42 F44:F51 I36:I42 I44:I51" xr:uid="{00000000-0002-0000-06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9"/>
  <sheetViews>
    <sheetView tabSelected="1" zoomScale="70" zoomScaleNormal="70" workbookViewId="0">
      <selection activeCell="A6" sqref="A6"/>
    </sheetView>
  </sheetViews>
  <sheetFormatPr defaultColWidth="30.109375" defaultRowHeight="16.8"/>
  <cols>
    <col min="1" max="1" width="44.6640625" style="8" bestFit="1" customWidth="1"/>
    <col min="2" max="2" width="17.109375" style="8" bestFit="1" customWidth="1"/>
    <col min="3" max="3" width="12.6640625" style="8" bestFit="1" customWidth="1"/>
    <col min="4" max="4" width="22.88671875" style="8" bestFit="1" customWidth="1"/>
    <col min="5" max="5" width="17.6640625" style="8" bestFit="1" customWidth="1"/>
    <col min="6" max="6" width="85.33203125" style="8" customWidth="1"/>
    <col min="7" max="7" width="16.6640625" style="8" bestFit="1" customWidth="1"/>
    <col min="8" max="8" width="17.88671875" style="8" bestFit="1" customWidth="1"/>
    <col min="9" max="9" width="12.6640625" style="8" bestFit="1" customWidth="1"/>
    <col min="10" max="10" width="16.6640625" style="8" bestFit="1" customWidth="1"/>
    <col min="11" max="11" width="17.88671875" style="8" bestFit="1" customWidth="1"/>
    <col min="12" max="12" width="10.6640625" style="8" bestFit="1" customWidth="1"/>
    <col min="13" max="16384" width="30.109375" style="8"/>
  </cols>
  <sheetData>
    <row r="1" spans="1:6">
      <c r="A1" s="81" t="s">
        <v>0</v>
      </c>
      <c r="B1" s="145" t="s">
        <v>535</v>
      </c>
      <c r="C1" s="145"/>
      <c r="D1" s="145"/>
      <c r="E1" s="145"/>
      <c r="F1" s="145"/>
    </row>
    <row r="2" spans="1:6">
      <c r="A2" s="81" t="s">
        <v>5</v>
      </c>
      <c r="B2" s="146" t="s">
        <v>121</v>
      </c>
      <c r="C2" s="146"/>
      <c r="D2" s="146"/>
      <c r="E2" s="146"/>
      <c r="F2" s="146"/>
    </row>
    <row r="3" spans="1:6">
      <c r="A3" s="69"/>
      <c r="B3" s="82" t="s">
        <v>23</v>
      </c>
      <c r="C3" s="82" t="s">
        <v>24</v>
      </c>
      <c r="D3" s="82" t="s">
        <v>33</v>
      </c>
      <c r="E3" s="83" t="s">
        <v>25</v>
      </c>
      <c r="F3" s="82" t="s">
        <v>43</v>
      </c>
    </row>
    <row r="4" spans="1:6">
      <c r="A4" s="70" t="s">
        <v>3</v>
      </c>
      <c r="B4" s="69">
        <v>21</v>
      </c>
      <c r="C4" s="69">
        <v>0</v>
      </c>
      <c r="D4" s="69">
        <v>0</v>
      </c>
      <c r="E4" s="69">
        <v>0</v>
      </c>
      <c r="F4" s="69">
        <v>21</v>
      </c>
    </row>
    <row r="5" spans="1:6">
      <c r="A5" s="70" t="s">
        <v>4</v>
      </c>
      <c r="B5" s="69">
        <v>21</v>
      </c>
      <c r="C5" s="69">
        <v>0</v>
      </c>
      <c r="D5" s="69">
        <v>0</v>
      </c>
      <c r="E5" s="71">
        <v>0</v>
      </c>
      <c r="F5" s="69">
        <v>21</v>
      </c>
    </row>
    <row r="24" spans="1:12">
      <c r="A24" s="147" t="s">
        <v>6</v>
      </c>
      <c r="B24" s="147" t="s">
        <v>12</v>
      </c>
      <c r="C24" s="147" t="s">
        <v>40</v>
      </c>
      <c r="D24" s="148" t="s">
        <v>41</v>
      </c>
      <c r="E24" s="147" t="s">
        <v>42</v>
      </c>
      <c r="F24" s="166" t="s">
        <v>34</v>
      </c>
      <c r="G24" s="166"/>
      <c r="H24" s="166"/>
      <c r="I24" s="166"/>
      <c r="J24" s="166"/>
      <c r="K24" s="166"/>
      <c r="L24" s="166" t="s">
        <v>35</v>
      </c>
    </row>
    <row r="25" spans="1:12">
      <c r="A25" s="147"/>
      <c r="B25" s="147"/>
      <c r="C25" s="147"/>
      <c r="D25" s="148"/>
      <c r="E25" s="147"/>
      <c r="F25" s="166" t="s">
        <v>15</v>
      </c>
      <c r="G25" s="166"/>
      <c r="H25" s="166"/>
      <c r="I25" s="166" t="s">
        <v>16</v>
      </c>
      <c r="J25" s="166"/>
      <c r="K25" s="166"/>
      <c r="L25" s="166"/>
    </row>
    <row r="26" spans="1:12">
      <c r="A26" s="147"/>
      <c r="B26" s="147"/>
      <c r="C26" s="147"/>
      <c r="D26" s="148"/>
      <c r="E26" s="147"/>
      <c r="F26" s="93" t="s">
        <v>36</v>
      </c>
      <c r="G26" s="80" t="s">
        <v>37</v>
      </c>
      <c r="H26" s="93" t="s">
        <v>38</v>
      </c>
      <c r="I26" s="93" t="s">
        <v>36</v>
      </c>
      <c r="J26" s="93" t="s">
        <v>37</v>
      </c>
      <c r="K26" s="93" t="s">
        <v>38</v>
      </c>
      <c r="L26" s="166"/>
    </row>
    <row r="27" spans="1:12">
      <c r="A27" s="150" t="s">
        <v>344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3"/>
    </row>
    <row r="28" spans="1:12" ht="84">
      <c r="A28" s="118" t="s">
        <v>347</v>
      </c>
      <c r="B28" s="118" t="s">
        <v>128</v>
      </c>
      <c r="C28" s="118" t="s">
        <v>348</v>
      </c>
      <c r="D28" s="118" t="s">
        <v>509</v>
      </c>
      <c r="E28" s="118" t="s">
        <v>509</v>
      </c>
      <c r="F28" s="74" t="s">
        <v>2</v>
      </c>
      <c r="G28" s="133" t="s">
        <v>533</v>
      </c>
      <c r="H28" s="74" t="s">
        <v>73</v>
      </c>
      <c r="I28" s="74" t="s">
        <v>2</v>
      </c>
      <c r="J28" s="133" t="s">
        <v>534</v>
      </c>
      <c r="K28" s="74" t="s">
        <v>142</v>
      </c>
      <c r="L28" s="69"/>
    </row>
    <row r="29" spans="1:12" ht="84">
      <c r="A29" s="118" t="s">
        <v>349</v>
      </c>
      <c r="B29" s="118" t="s">
        <v>350</v>
      </c>
      <c r="C29" s="118" t="s">
        <v>351</v>
      </c>
      <c r="D29" s="118" t="s">
        <v>352</v>
      </c>
      <c r="E29" s="118" t="s">
        <v>352</v>
      </c>
      <c r="F29" s="74" t="s">
        <v>2</v>
      </c>
      <c r="G29" s="133" t="s">
        <v>533</v>
      </c>
      <c r="H29" s="74" t="s">
        <v>73</v>
      </c>
      <c r="I29" s="74" t="s">
        <v>2</v>
      </c>
      <c r="J29" s="133" t="s">
        <v>534</v>
      </c>
      <c r="K29" s="74" t="s">
        <v>142</v>
      </c>
      <c r="L29" s="69"/>
    </row>
    <row r="30" spans="1:12" ht="67.2">
      <c r="A30" s="118" t="s">
        <v>353</v>
      </c>
      <c r="B30" s="118" t="s">
        <v>354</v>
      </c>
      <c r="C30" s="118" t="s">
        <v>355</v>
      </c>
      <c r="D30" s="118" t="s">
        <v>356</v>
      </c>
      <c r="E30" s="118" t="s">
        <v>356</v>
      </c>
      <c r="F30" s="74" t="s">
        <v>2</v>
      </c>
      <c r="G30" s="133" t="s">
        <v>533</v>
      </c>
      <c r="H30" s="74" t="s">
        <v>73</v>
      </c>
      <c r="I30" s="74" t="s">
        <v>2</v>
      </c>
      <c r="J30" s="133" t="s">
        <v>534</v>
      </c>
      <c r="K30" s="74" t="s">
        <v>142</v>
      </c>
      <c r="L30" s="69"/>
    </row>
    <row r="31" spans="1:12" ht="67.2">
      <c r="A31" s="118" t="s">
        <v>357</v>
      </c>
      <c r="B31" s="118" t="s">
        <v>358</v>
      </c>
      <c r="C31" s="118" t="s">
        <v>359</v>
      </c>
      <c r="D31" s="118" t="s">
        <v>510</v>
      </c>
      <c r="E31" s="118" t="s">
        <v>510</v>
      </c>
      <c r="F31" s="74" t="s">
        <v>2</v>
      </c>
      <c r="G31" s="133" t="s">
        <v>533</v>
      </c>
      <c r="H31" s="74" t="s">
        <v>73</v>
      </c>
      <c r="I31" s="74" t="s">
        <v>2</v>
      </c>
      <c r="J31" s="133" t="s">
        <v>534</v>
      </c>
      <c r="K31" s="74" t="s">
        <v>142</v>
      </c>
      <c r="L31" s="69"/>
    </row>
    <row r="32" spans="1:12" ht="67.2">
      <c r="A32" s="118" t="s">
        <v>360</v>
      </c>
      <c r="B32" s="118" t="s">
        <v>361</v>
      </c>
      <c r="C32" s="118" t="s">
        <v>362</v>
      </c>
      <c r="D32" s="118" t="s">
        <v>363</v>
      </c>
      <c r="E32" s="118" t="s">
        <v>363</v>
      </c>
      <c r="F32" s="74" t="s">
        <v>2</v>
      </c>
      <c r="G32" s="133" t="s">
        <v>533</v>
      </c>
      <c r="H32" s="74" t="s">
        <v>73</v>
      </c>
      <c r="I32" s="74" t="s">
        <v>2</v>
      </c>
      <c r="J32" s="133" t="s">
        <v>534</v>
      </c>
      <c r="K32" s="74" t="s">
        <v>142</v>
      </c>
      <c r="L32" s="69"/>
    </row>
    <row r="33" spans="1:12" ht="100.8">
      <c r="A33" s="118" t="s">
        <v>364</v>
      </c>
      <c r="B33" s="118" t="s">
        <v>365</v>
      </c>
      <c r="C33" s="118" t="s">
        <v>366</v>
      </c>
      <c r="D33" s="118" t="s">
        <v>511</v>
      </c>
      <c r="E33" s="118" t="s">
        <v>511</v>
      </c>
      <c r="F33" s="74" t="s">
        <v>2</v>
      </c>
      <c r="G33" s="133" t="s">
        <v>533</v>
      </c>
      <c r="H33" s="74" t="s">
        <v>73</v>
      </c>
      <c r="I33" s="74" t="s">
        <v>2</v>
      </c>
      <c r="J33" s="133" t="s">
        <v>534</v>
      </c>
      <c r="K33" s="74" t="s">
        <v>142</v>
      </c>
      <c r="L33" s="69"/>
    </row>
    <row r="34" spans="1:12" ht="117.6">
      <c r="A34" s="118" t="s">
        <v>367</v>
      </c>
      <c r="B34" s="118" t="s">
        <v>368</v>
      </c>
      <c r="C34" s="118" t="s">
        <v>369</v>
      </c>
      <c r="D34" s="118" t="s">
        <v>370</v>
      </c>
      <c r="E34" s="118" t="s">
        <v>370</v>
      </c>
      <c r="F34" s="74" t="s">
        <v>2</v>
      </c>
      <c r="G34" s="133" t="s">
        <v>533</v>
      </c>
      <c r="H34" s="74" t="s">
        <v>73</v>
      </c>
      <c r="I34" s="74" t="s">
        <v>2</v>
      </c>
      <c r="J34" s="133" t="s">
        <v>534</v>
      </c>
      <c r="K34" s="74" t="s">
        <v>142</v>
      </c>
      <c r="L34" s="69"/>
    </row>
    <row r="35" spans="1:12" ht="67.2">
      <c r="A35" s="118" t="s">
        <v>371</v>
      </c>
      <c r="B35" s="118" t="s">
        <v>372</v>
      </c>
      <c r="C35" s="118" t="s">
        <v>373</v>
      </c>
      <c r="D35" s="118" t="s">
        <v>512</v>
      </c>
      <c r="E35" s="118" t="s">
        <v>512</v>
      </c>
      <c r="F35" s="74" t="s">
        <v>2</v>
      </c>
      <c r="G35" s="133" t="s">
        <v>533</v>
      </c>
      <c r="H35" s="74" t="s">
        <v>73</v>
      </c>
      <c r="I35" s="74" t="s">
        <v>2</v>
      </c>
      <c r="J35" s="133" t="s">
        <v>534</v>
      </c>
      <c r="K35" s="74" t="s">
        <v>142</v>
      </c>
      <c r="L35" s="69"/>
    </row>
    <row r="36" spans="1:12" ht="84">
      <c r="A36" s="118" t="s">
        <v>374</v>
      </c>
      <c r="B36" s="118" t="s">
        <v>375</v>
      </c>
      <c r="C36" s="118" t="s">
        <v>376</v>
      </c>
      <c r="D36" s="118" t="s">
        <v>377</v>
      </c>
      <c r="E36" s="118" t="s">
        <v>377</v>
      </c>
      <c r="F36" s="74" t="s">
        <v>2</v>
      </c>
      <c r="G36" s="133" t="s">
        <v>533</v>
      </c>
      <c r="H36" s="74" t="s">
        <v>73</v>
      </c>
      <c r="I36" s="74" t="s">
        <v>2</v>
      </c>
      <c r="J36" s="133" t="s">
        <v>534</v>
      </c>
      <c r="K36" s="74" t="s">
        <v>142</v>
      </c>
      <c r="L36" s="69"/>
    </row>
    <row r="37" spans="1:12" ht="67.2">
      <c r="A37" s="118" t="s">
        <v>378</v>
      </c>
      <c r="B37" s="118" t="s">
        <v>276</v>
      </c>
      <c r="C37" s="118" t="s">
        <v>379</v>
      </c>
      <c r="D37" s="118" t="s">
        <v>380</v>
      </c>
      <c r="E37" s="118" t="s">
        <v>380</v>
      </c>
      <c r="F37" s="74" t="s">
        <v>2</v>
      </c>
      <c r="G37" s="133" t="s">
        <v>533</v>
      </c>
      <c r="H37" s="74" t="s">
        <v>73</v>
      </c>
      <c r="I37" s="74" t="s">
        <v>2</v>
      </c>
      <c r="J37" s="133" t="s">
        <v>534</v>
      </c>
      <c r="K37" s="74" t="s">
        <v>142</v>
      </c>
      <c r="L37" s="69"/>
    </row>
    <row r="38" spans="1:12" ht="67.2">
      <c r="A38" s="118" t="s">
        <v>381</v>
      </c>
      <c r="B38" s="118" t="s">
        <v>382</v>
      </c>
      <c r="C38" s="118" t="s">
        <v>383</v>
      </c>
      <c r="D38" s="118" t="s">
        <v>513</v>
      </c>
      <c r="E38" s="118" t="s">
        <v>513</v>
      </c>
      <c r="F38" s="74" t="s">
        <v>2</v>
      </c>
      <c r="G38" s="133" t="s">
        <v>533</v>
      </c>
      <c r="H38" s="74" t="s">
        <v>73</v>
      </c>
      <c r="I38" s="74" t="s">
        <v>2</v>
      </c>
      <c r="J38" s="133" t="s">
        <v>534</v>
      </c>
      <c r="K38" s="74" t="s">
        <v>142</v>
      </c>
      <c r="L38" s="74"/>
    </row>
    <row r="39" spans="1:12">
      <c r="A39" s="112" t="s">
        <v>345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4"/>
    </row>
    <row r="40" spans="1:12" ht="84">
      <c r="A40" s="118" t="s">
        <v>313</v>
      </c>
      <c r="B40" s="118" t="s">
        <v>314</v>
      </c>
      <c r="C40" s="118" t="s">
        <v>514</v>
      </c>
      <c r="D40" s="118" t="s">
        <v>315</v>
      </c>
      <c r="E40" s="118" t="s">
        <v>315</v>
      </c>
      <c r="F40" s="76" t="s">
        <v>2</v>
      </c>
      <c r="G40" s="133" t="s">
        <v>533</v>
      </c>
      <c r="H40" s="74" t="s">
        <v>73</v>
      </c>
      <c r="I40" s="74" t="s">
        <v>2</v>
      </c>
      <c r="J40" s="133" t="s">
        <v>534</v>
      </c>
      <c r="K40" s="74" t="s">
        <v>142</v>
      </c>
      <c r="L40" s="69"/>
    </row>
    <row r="41" spans="1:12" ht="84">
      <c r="A41" s="118" t="s">
        <v>316</v>
      </c>
      <c r="B41" s="118" t="s">
        <v>317</v>
      </c>
      <c r="C41" s="118" t="s">
        <v>515</v>
      </c>
      <c r="D41" s="118" t="s">
        <v>318</v>
      </c>
      <c r="E41" s="118" t="s">
        <v>318</v>
      </c>
      <c r="F41" s="76" t="s">
        <v>2</v>
      </c>
      <c r="G41" s="133" t="s">
        <v>533</v>
      </c>
      <c r="H41" s="74" t="s">
        <v>73</v>
      </c>
      <c r="I41" s="74" t="s">
        <v>2</v>
      </c>
      <c r="J41" s="133" t="s">
        <v>534</v>
      </c>
      <c r="K41" s="74" t="s">
        <v>142</v>
      </c>
      <c r="L41" s="69"/>
    </row>
    <row r="42" spans="1:12" ht="100.8">
      <c r="A42" s="118" t="s">
        <v>319</v>
      </c>
      <c r="B42" s="118" t="s">
        <v>320</v>
      </c>
      <c r="C42" s="118" t="s">
        <v>516</v>
      </c>
      <c r="D42" s="118" t="s">
        <v>321</v>
      </c>
      <c r="E42" s="118" t="s">
        <v>321</v>
      </c>
      <c r="F42" s="76" t="s">
        <v>2</v>
      </c>
      <c r="G42" s="133" t="s">
        <v>533</v>
      </c>
      <c r="H42" s="74" t="s">
        <v>73</v>
      </c>
      <c r="I42" s="74" t="s">
        <v>2</v>
      </c>
      <c r="J42" s="133" t="s">
        <v>534</v>
      </c>
      <c r="K42" s="74" t="s">
        <v>142</v>
      </c>
      <c r="L42" s="69"/>
    </row>
    <row r="43" spans="1:12" ht="67.2">
      <c r="A43" s="118" t="s">
        <v>322</v>
      </c>
      <c r="B43" s="118" t="s">
        <v>323</v>
      </c>
      <c r="C43" s="118" t="s">
        <v>517</v>
      </c>
      <c r="D43" s="118" t="s">
        <v>324</v>
      </c>
      <c r="E43" s="118" t="s">
        <v>324</v>
      </c>
      <c r="F43" s="76" t="s">
        <v>2</v>
      </c>
      <c r="G43" s="133" t="s">
        <v>533</v>
      </c>
      <c r="H43" s="74" t="s">
        <v>73</v>
      </c>
      <c r="I43" s="74" t="s">
        <v>2</v>
      </c>
      <c r="J43" s="133" t="s">
        <v>534</v>
      </c>
      <c r="K43" s="74" t="s">
        <v>142</v>
      </c>
      <c r="L43" s="69"/>
    </row>
    <row r="44" spans="1:12" ht="117.6">
      <c r="A44" s="118" t="s">
        <v>325</v>
      </c>
      <c r="B44" s="118" t="s">
        <v>326</v>
      </c>
      <c r="C44" s="118" t="s">
        <v>518</v>
      </c>
      <c r="D44" s="118" t="s">
        <v>327</v>
      </c>
      <c r="E44" s="118" t="s">
        <v>327</v>
      </c>
      <c r="F44" s="76" t="s">
        <v>2</v>
      </c>
      <c r="G44" s="133" t="s">
        <v>533</v>
      </c>
      <c r="H44" s="74" t="s">
        <v>73</v>
      </c>
      <c r="I44" s="74" t="s">
        <v>2</v>
      </c>
      <c r="J44" s="133" t="s">
        <v>534</v>
      </c>
      <c r="K44" s="74" t="s">
        <v>142</v>
      </c>
      <c r="L44" s="69"/>
    </row>
    <row r="45" spans="1:12" ht="151.19999999999999">
      <c r="A45" s="118" t="s">
        <v>328</v>
      </c>
      <c r="B45" s="118" t="s">
        <v>329</v>
      </c>
      <c r="C45" s="118" t="s">
        <v>519</v>
      </c>
      <c r="D45" s="118" t="s">
        <v>330</v>
      </c>
      <c r="E45" s="118" t="s">
        <v>330</v>
      </c>
      <c r="F45" s="76" t="s">
        <v>2</v>
      </c>
      <c r="G45" s="133" t="s">
        <v>533</v>
      </c>
      <c r="H45" s="74" t="s">
        <v>73</v>
      </c>
      <c r="I45" s="74" t="s">
        <v>2</v>
      </c>
      <c r="J45" s="133" t="s">
        <v>534</v>
      </c>
      <c r="K45" s="74" t="s">
        <v>142</v>
      </c>
      <c r="L45" s="69"/>
    </row>
    <row r="46" spans="1:12" ht="117.6">
      <c r="A46" s="118" t="s">
        <v>331</v>
      </c>
      <c r="B46" s="118" t="s">
        <v>332</v>
      </c>
      <c r="C46" s="118" t="s">
        <v>520</v>
      </c>
      <c r="D46" s="118" t="s">
        <v>333</v>
      </c>
      <c r="E46" s="118" t="s">
        <v>333</v>
      </c>
      <c r="F46" s="76" t="s">
        <v>2</v>
      </c>
      <c r="G46" s="133" t="s">
        <v>533</v>
      </c>
      <c r="H46" s="74" t="s">
        <v>73</v>
      </c>
      <c r="I46" s="74" t="s">
        <v>2</v>
      </c>
      <c r="J46" s="133" t="s">
        <v>534</v>
      </c>
      <c r="K46" s="74" t="s">
        <v>142</v>
      </c>
      <c r="L46" s="69"/>
    </row>
    <row r="47" spans="1:12" ht="100.8">
      <c r="A47" s="118" t="s">
        <v>334</v>
      </c>
      <c r="B47" s="118" t="s">
        <v>335</v>
      </c>
      <c r="C47" s="118" t="s">
        <v>521</v>
      </c>
      <c r="D47" s="118" t="s">
        <v>336</v>
      </c>
      <c r="E47" s="118" t="s">
        <v>336</v>
      </c>
      <c r="F47" s="76" t="s">
        <v>2</v>
      </c>
      <c r="G47" s="133" t="s">
        <v>533</v>
      </c>
      <c r="H47" s="74" t="s">
        <v>73</v>
      </c>
      <c r="I47" s="74" t="s">
        <v>2</v>
      </c>
      <c r="J47" s="133" t="s">
        <v>534</v>
      </c>
      <c r="K47" s="74" t="s">
        <v>142</v>
      </c>
      <c r="L47" s="69"/>
    </row>
    <row r="48" spans="1:12" ht="117.6">
      <c r="A48" s="118" t="s">
        <v>337</v>
      </c>
      <c r="B48" s="118" t="s">
        <v>338</v>
      </c>
      <c r="C48" s="118" t="s">
        <v>522</v>
      </c>
      <c r="D48" s="118" t="s">
        <v>339</v>
      </c>
      <c r="E48" s="118" t="s">
        <v>339</v>
      </c>
      <c r="F48" s="76" t="s">
        <v>2</v>
      </c>
      <c r="G48" s="133" t="s">
        <v>533</v>
      </c>
      <c r="H48" s="74" t="s">
        <v>73</v>
      </c>
      <c r="I48" s="74" t="s">
        <v>2</v>
      </c>
      <c r="J48" s="133" t="s">
        <v>534</v>
      </c>
      <c r="K48" s="74" t="s">
        <v>142</v>
      </c>
      <c r="L48" s="69"/>
    </row>
    <row r="49" spans="1:12" ht="50.4">
      <c r="A49" s="118" t="s">
        <v>340</v>
      </c>
      <c r="B49" s="118" t="s">
        <v>341</v>
      </c>
      <c r="C49" s="118" t="s">
        <v>342</v>
      </c>
      <c r="D49" s="118" t="s">
        <v>343</v>
      </c>
      <c r="E49" s="118" t="s">
        <v>346</v>
      </c>
      <c r="F49" s="76" t="s">
        <v>2</v>
      </c>
      <c r="G49" s="133" t="s">
        <v>533</v>
      </c>
      <c r="H49" s="74" t="s">
        <v>73</v>
      </c>
      <c r="I49" s="74" t="s">
        <v>2</v>
      </c>
      <c r="J49" s="133" t="s">
        <v>534</v>
      </c>
      <c r="K49" s="74" t="s">
        <v>142</v>
      </c>
      <c r="L49" s="69"/>
    </row>
  </sheetData>
  <mergeCells count="12">
    <mergeCell ref="L24:L26"/>
    <mergeCell ref="F25:H25"/>
    <mergeCell ref="I25:K25"/>
    <mergeCell ref="A27:L27"/>
    <mergeCell ref="B1:F1"/>
    <mergeCell ref="B2:F2"/>
    <mergeCell ref="A24:A26"/>
    <mergeCell ref="B24:B26"/>
    <mergeCell ref="C24:C26"/>
    <mergeCell ref="D24:D26"/>
    <mergeCell ref="E24:E26"/>
    <mergeCell ref="F24:K24"/>
  </mergeCells>
  <phoneticPr fontId="22" type="noConversion"/>
  <dataValidations count="1">
    <dataValidation type="list" operator="equal" allowBlank="1" showErrorMessage="1" promptTitle="dfdf" sqref="F40:F49 I28:I38 F28:F38 I40:I49" xr:uid="{00000000-0002-0000-0700-000000000000}">
      <formula1>"Passed,Untested,Failed,Blocked"</formula1>
      <formula2>0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4"/>
  <sheetViews>
    <sheetView topLeftCell="A20" workbookViewId="0">
      <selection activeCell="H13" sqref="H13"/>
    </sheetView>
  </sheetViews>
  <sheetFormatPr defaultColWidth="9.109375" defaultRowHeight="13.8"/>
  <cols>
    <col min="1" max="1" width="14.109375" style="7" customWidth="1"/>
    <col min="2" max="2" width="33.33203125" style="7" bestFit="1" customWidth="1"/>
    <col min="3" max="3" width="11.6640625" style="7" customWidth="1"/>
    <col min="4" max="10" width="9.109375" style="7"/>
    <col min="11" max="11" width="13.5546875" style="7" customWidth="1"/>
    <col min="12" max="12" width="14.33203125" style="7" customWidth="1"/>
    <col min="13" max="16384" width="9.109375" style="7"/>
  </cols>
  <sheetData>
    <row r="1" spans="1:16" s="1" customFormat="1" ht="24.6">
      <c r="A1" s="197" t="s">
        <v>28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</row>
    <row r="2" spans="1:16" s="1" customFormat="1" ht="13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  <c r="P2" s="4"/>
    </row>
    <row r="3" spans="1:16" s="1" customFormat="1" ht="16.8">
      <c r="A3" s="13" t="s">
        <v>13</v>
      </c>
      <c r="B3" s="198" t="s">
        <v>45</v>
      </c>
      <c r="C3" s="198"/>
      <c r="D3" s="14"/>
      <c r="E3" s="185" t="s">
        <v>7</v>
      </c>
      <c r="F3" s="185"/>
      <c r="G3" s="185"/>
      <c r="H3" s="191" t="s">
        <v>17</v>
      </c>
      <c r="I3" s="192"/>
      <c r="J3" s="192"/>
      <c r="K3" s="193"/>
      <c r="L3" s="15"/>
      <c r="M3" s="15"/>
      <c r="N3" s="15"/>
      <c r="O3" s="15"/>
      <c r="P3" s="15"/>
    </row>
    <row r="4" spans="1:16" s="1" customFormat="1" ht="16.8">
      <c r="A4" s="13"/>
      <c r="B4" s="184"/>
      <c r="C4" s="184"/>
      <c r="D4" s="16"/>
      <c r="E4" s="185" t="s">
        <v>18</v>
      </c>
      <c r="F4" s="185"/>
      <c r="G4" s="185"/>
      <c r="H4" s="194" t="s">
        <v>19</v>
      </c>
      <c r="I4" s="195"/>
      <c r="J4" s="195"/>
      <c r="K4" s="196"/>
      <c r="L4" s="16"/>
      <c r="M4" s="15"/>
      <c r="N4" s="15"/>
      <c r="O4" s="15"/>
      <c r="P4" s="15"/>
    </row>
    <row r="5" spans="1:16" s="1" customFormat="1" ht="16.8">
      <c r="A5" s="13"/>
      <c r="B5" s="184"/>
      <c r="C5" s="184"/>
      <c r="D5" s="16"/>
      <c r="E5" s="185" t="s">
        <v>20</v>
      </c>
      <c r="F5" s="185"/>
      <c r="G5" s="185"/>
      <c r="H5" s="188">
        <v>44114</v>
      </c>
      <c r="I5" s="189"/>
      <c r="J5" s="189"/>
      <c r="K5" s="190"/>
      <c r="L5" s="16"/>
      <c r="M5" s="15"/>
      <c r="N5" s="15"/>
      <c r="O5" s="15"/>
      <c r="P5" s="15"/>
    </row>
    <row r="6" spans="1:16" s="1" customFormat="1" ht="20.25" customHeight="1">
      <c r="A6" s="17" t="s">
        <v>21</v>
      </c>
      <c r="B6" s="186" t="s">
        <v>22</v>
      </c>
      <c r="C6" s="186"/>
      <c r="D6" s="186"/>
      <c r="E6" s="186"/>
      <c r="F6" s="186"/>
      <c r="G6" s="186"/>
      <c r="H6" s="186"/>
      <c r="I6" s="186"/>
      <c r="J6" s="186"/>
      <c r="K6" s="186"/>
      <c r="L6" s="18"/>
      <c r="M6" s="19"/>
      <c r="N6" s="19"/>
      <c r="O6" s="19"/>
      <c r="P6" s="19"/>
    </row>
    <row r="7" spans="1:16" s="1" customFormat="1" ht="20.25" customHeight="1">
      <c r="A7" s="20"/>
      <c r="B7" s="21"/>
      <c r="C7" s="187" t="s">
        <v>23</v>
      </c>
      <c r="D7" s="187"/>
      <c r="E7" s="187" t="s">
        <v>24</v>
      </c>
      <c r="F7" s="187"/>
      <c r="G7" s="187" t="s">
        <v>32</v>
      </c>
      <c r="H7" s="187"/>
      <c r="I7" s="187" t="s">
        <v>25</v>
      </c>
      <c r="J7" s="187"/>
      <c r="K7" s="187" t="s">
        <v>26</v>
      </c>
      <c r="L7" s="187"/>
      <c r="M7" s="182" t="s">
        <v>27</v>
      </c>
      <c r="N7" s="182"/>
      <c r="O7" s="183" t="s">
        <v>44</v>
      </c>
      <c r="P7" s="183"/>
    </row>
    <row r="8" spans="1:16" s="1" customFormat="1" ht="16.8">
      <c r="A8" s="22"/>
      <c r="B8" s="23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2"/>
      <c r="N8" s="182"/>
      <c r="O8" s="183"/>
      <c r="P8" s="183"/>
    </row>
    <row r="9" spans="1:16" s="5" customFormat="1" ht="22.5" customHeight="1">
      <c r="A9" s="24" t="s">
        <v>11</v>
      </c>
      <c r="B9" s="24" t="s">
        <v>14</v>
      </c>
      <c r="C9" s="25" t="s">
        <v>15</v>
      </c>
      <c r="D9" s="25" t="s">
        <v>16</v>
      </c>
      <c r="E9" s="25" t="s">
        <v>15</v>
      </c>
      <c r="F9" s="25" t="s">
        <v>16</v>
      </c>
      <c r="G9" s="25" t="s">
        <v>15</v>
      </c>
      <c r="H9" s="25" t="s">
        <v>16</v>
      </c>
      <c r="I9" s="24" t="s">
        <v>15</v>
      </c>
      <c r="J9" s="25" t="s">
        <v>16</v>
      </c>
      <c r="K9" s="25" t="s">
        <v>15</v>
      </c>
      <c r="L9" s="25" t="s">
        <v>16</v>
      </c>
      <c r="M9" s="25" t="s">
        <v>15</v>
      </c>
      <c r="N9" s="25" t="s">
        <v>16</v>
      </c>
      <c r="O9" s="25" t="s">
        <v>15</v>
      </c>
      <c r="P9" s="25" t="s">
        <v>16</v>
      </c>
    </row>
    <row r="10" spans="1:16" s="1" customFormat="1" ht="31.65" customHeight="1">
      <c r="A10" s="9">
        <v>1</v>
      </c>
      <c r="B10" s="10" t="s">
        <v>39</v>
      </c>
      <c r="C10" s="26">
        <v>15</v>
      </c>
      <c r="D10" s="26">
        <v>15</v>
      </c>
      <c r="E10" s="26">
        <v>0</v>
      </c>
      <c r="F10" s="26">
        <f>'[1]Show Bus Routes List'!C6</f>
        <v>0</v>
      </c>
      <c r="G10" s="26">
        <f>'[1]Show Bus Routes List'!D5</f>
        <v>0</v>
      </c>
      <c r="H10" s="26">
        <f>'[1]Show Bus Routes List'!D6</f>
        <v>0</v>
      </c>
      <c r="I10" s="26">
        <f>'[1]Show Bus Routes List'!E5</f>
        <v>0</v>
      </c>
      <c r="J10" s="26">
        <f>'[1]Show Bus Routes List'!E6</f>
        <v>0</v>
      </c>
      <c r="K10" s="26">
        <v>15</v>
      </c>
      <c r="L10" s="26">
        <v>15</v>
      </c>
      <c r="M10" s="27">
        <f>ROUND(C10*100/K10,1)</f>
        <v>100</v>
      </c>
      <c r="N10" s="27">
        <f t="shared" ref="N10:N20" si="0">ROUND(D10*100/L10,1)</f>
        <v>100</v>
      </c>
      <c r="O10" s="27">
        <f t="shared" ref="O10:P17" si="1">ROUND((C10+E10)*100/K10,1)</f>
        <v>100</v>
      </c>
      <c r="P10" s="28">
        <f t="shared" si="1"/>
        <v>100</v>
      </c>
    </row>
    <row r="11" spans="1:16" s="1" customFormat="1" ht="31.65" customHeight="1">
      <c r="A11" s="62">
        <v>2</v>
      </c>
      <c r="B11" s="10" t="s">
        <v>49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7"/>
      <c r="N11" s="27"/>
      <c r="O11" s="27"/>
      <c r="P11" s="28"/>
    </row>
    <row r="12" spans="1:16" s="1" customFormat="1" ht="45" customHeight="1">
      <c r="A12" s="9">
        <v>3</v>
      </c>
      <c r="B12" s="10" t="s">
        <v>58</v>
      </c>
      <c r="C12" s="26">
        <v>12</v>
      </c>
      <c r="D12" s="26">
        <v>12</v>
      </c>
      <c r="E12" s="26">
        <v>0</v>
      </c>
      <c r="F12" s="26">
        <f>'[1]Show Bus Stops List'!C6</f>
        <v>0</v>
      </c>
      <c r="G12" s="26">
        <f>'[1]Show Bus Stops List'!D5</f>
        <v>0</v>
      </c>
      <c r="H12" s="26">
        <f>'[1]Show Bus Stops List'!D6</f>
        <v>0</v>
      </c>
      <c r="I12" s="26">
        <f>'[1]Show Bus Stops List'!E5</f>
        <v>0</v>
      </c>
      <c r="J12" s="26">
        <f>'[1]Show Bus Stops List'!E6</f>
        <v>0</v>
      </c>
      <c r="K12" s="26">
        <v>12</v>
      </c>
      <c r="L12" s="26">
        <v>12</v>
      </c>
      <c r="M12" s="27">
        <f t="shared" ref="M12:M20" si="2">ROUND(C12*100/K12,1)</f>
        <v>100</v>
      </c>
      <c r="N12" s="27">
        <f t="shared" si="0"/>
        <v>100</v>
      </c>
      <c r="O12" s="27">
        <f t="shared" si="1"/>
        <v>100</v>
      </c>
      <c r="P12" s="28">
        <f t="shared" si="1"/>
        <v>100</v>
      </c>
    </row>
    <row r="13" spans="1:16" s="1" customFormat="1" ht="45" customHeight="1">
      <c r="A13" s="63">
        <v>4</v>
      </c>
      <c r="B13" s="64" t="s">
        <v>57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6"/>
      <c r="N13" s="66"/>
      <c r="O13" s="66"/>
      <c r="P13" s="67"/>
    </row>
    <row r="14" spans="1:16" s="1" customFormat="1" ht="33.75" customHeight="1">
      <c r="A14" s="11">
        <v>5</v>
      </c>
      <c r="B14" s="12" t="s">
        <v>50</v>
      </c>
      <c r="C14" s="29">
        <v>8</v>
      </c>
      <c r="D14" s="29">
        <v>8</v>
      </c>
      <c r="E14" s="29" t="e">
        <f>#REF!</f>
        <v>#REF!</v>
      </c>
      <c r="F14" s="29" t="e">
        <f>#REF!</f>
        <v>#REF!</v>
      </c>
      <c r="G14" s="29" t="e">
        <f>#REF!</f>
        <v>#REF!</v>
      </c>
      <c r="H14" s="29" t="e">
        <f>#REF!</f>
        <v>#REF!</v>
      </c>
      <c r="I14" s="29" t="e">
        <f>#REF!</f>
        <v>#REF!</v>
      </c>
      <c r="J14" s="29" t="e">
        <f>#REF!</f>
        <v>#REF!</v>
      </c>
      <c r="K14" s="29">
        <v>4</v>
      </c>
      <c r="L14" s="29">
        <v>4</v>
      </c>
      <c r="M14" s="27">
        <f t="shared" si="2"/>
        <v>200</v>
      </c>
      <c r="N14" s="27">
        <f t="shared" si="0"/>
        <v>200</v>
      </c>
      <c r="O14" s="27" t="e">
        <f>ROUND((C14+E14)*100/K14,1)</f>
        <v>#REF!</v>
      </c>
      <c r="P14" s="28" t="e">
        <f t="shared" si="1"/>
        <v>#REF!</v>
      </c>
    </row>
    <row r="15" spans="1:16" s="1" customFormat="1" ht="33.75" customHeight="1">
      <c r="A15" s="63">
        <v>6</v>
      </c>
      <c r="B15" s="64" t="s">
        <v>56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30"/>
      <c r="N15" s="30"/>
      <c r="O15" s="30"/>
      <c r="P15" s="31"/>
    </row>
    <row r="16" spans="1:16" s="1" customFormat="1" ht="42" customHeight="1">
      <c r="A16" s="11">
        <v>7</v>
      </c>
      <c r="B16" s="12" t="s">
        <v>51</v>
      </c>
      <c r="C16" s="29">
        <v>15</v>
      </c>
      <c r="D16" s="29">
        <v>15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15</v>
      </c>
      <c r="L16" s="29">
        <v>15</v>
      </c>
      <c r="M16" s="27">
        <f t="shared" si="2"/>
        <v>100</v>
      </c>
      <c r="N16" s="30">
        <v>100</v>
      </c>
      <c r="O16" s="30">
        <v>100</v>
      </c>
      <c r="P16" s="31">
        <v>100</v>
      </c>
    </row>
    <row r="17" spans="1:16" s="1" customFormat="1" ht="33.75" customHeight="1">
      <c r="A17" s="11">
        <v>8</v>
      </c>
      <c r="B17" s="12" t="s">
        <v>52</v>
      </c>
      <c r="C17" s="29">
        <v>20</v>
      </c>
      <c r="D17" s="29">
        <v>20</v>
      </c>
      <c r="E17" s="29" t="e">
        <f>#REF!</f>
        <v>#REF!</v>
      </c>
      <c r="F17" s="29" t="e">
        <f>#REF!</f>
        <v>#REF!</v>
      </c>
      <c r="G17" s="29" t="e">
        <f>#REF!</f>
        <v>#REF!</v>
      </c>
      <c r="H17" s="29" t="e">
        <f>#REF!</f>
        <v>#REF!</v>
      </c>
      <c r="I17" s="29" t="e">
        <f>#REF!</f>
        <v>#REF!</v>
      </c>
      <c r="J17" s="29" t="e">
        <f>#REF!</f>
        <v>#REF!</v>
      </c>
      <c r="K17" s="29">
        <v>20</v>
      </c>
      <c r="L17" s="29">
        <v>20</v>
      </c>
      <c r="M17" s="27">
        <f t="shared" si="2"/>
        <v>100</v>
      </c>
      <c r="N17" s="27">
        <f t="shared" si="0"/>
        <v>100</v>
      </c>
      <c r="O17" s="27" t="e">
        <f>ROUND((C17+E17)*100/K17,1)</f>
        <v>#REF!</v>
      </c>
      <c r="P17" s="28" t="e">
        <f t="shared" si="1"/>
        <v>#REF!</v>
      </c>
    </row>
    <row r="18" spans="1:16" s="1" customFormat="1" ht="21">
      <c r="A18" s="11">
        <v>9</v>
      </c>
      <c r="B18" s="12" t="s">
        <v>53</v>
      </c>
      <c r="C18" s="29">
        <v>27</v>
      </c>
      <c r="D18" s="29">
        <v>27</v>
      </c>
      <c r="E18" s="29" t="e">
        <f>#REF!</f>
        <v>#REF!</v>
      </c>
      <c r="F18" s="26">
        <v>0</v>
      </c>
      <c r="G18" s="29" t="e">
        <f>#REF!</f>
        <v>#REF!</v>
      </c>
      <c r="H18" s="29" t="e">
        <f>#REF!</f>
        <v>#REF!</v>
      </c>
      <c r="I18" s="29" t="e">
        <f>#REF!</f>
        <v>#REF!</v>
      </c>
      <c r="J18" s="29">
        <v>0</v>
      </c>
      <c r="K18" s="29">
        <v>27</v>
      </c>
      <c r="L18" s="29">
        <v>27</v>
      </c>
      <c r="M18" s="27">
        <f t="shared" si="2"/>
        <v>100</v>
      </c>
      <c r="N18" s="27">
        <f t="shared" si="0"/>
        <v>100</v>
      </c>
      <c r="O18" s="27" t="e">
        <f t="shared" ref="O18:O20" si="3">ROUND((C18+E18)*100/K18,1)</f>
        <v>#REF!</v>
      </c>
      <c r="P18" s="28">
        <f t="shared" ref="P18:P20" si="4">ROUND((D18+F18)*100/L18,1)</f>
        <v>100</v>
      </c>
    </row>
    <row r="19" spans="1:16" s="6" customFormat="1" ht="21">
      <c r="A19" s="56">
        <v>10</v>
      </c>
      <c r="B19" s="57" t="s">
        <v>54</v>
      </c>
      <c r="C19" s="61">
        <v>17</v>
      </c>
      <c r="D19" s="61">
        <v>17</v>
      </c>
      <c r="E19" s="29">
        <v>0</v>
      </c>
      <c r="F19" s="29" t="e">
        <f>#REF!</f>
        <v>#REF!</v>
      </c>
      <c r="G19" s="29">
        <v>0</v>
      </c>
      <c r="H19" s="29">
        <v>0</v>
      </c>
      <c r="I19" s="29">
        <v>0</v>
      </c>
      <c r="J19" s="29" t="e">
        <f>#REF!</f>
        <v>#REF!</v>
      </c>
      <c r="K19" s="61">
        <v>17</v>
      </c>
      <c r="L19" s="61">
        <v>17</v>
      </c>
      <c r="M19" s="27">
        <f t="shared" si="2"/>
        <v>100</v>
      </c>
      <c r="N19" s="27">
        <f t="shared" si="0"/>
        <v>100</v>
      </c>
      <c r="O19" s="27">
        <f t="shared" si="3"/>
        <v>100</v>
      </c>
      <c r="P19" s="28" t="e">
        <f t="shared" si="4"/>
        <v>#REF!</v>
      </c>
    </row>
    <row r="20" spans="1:16" s="1" customFormat="1" ht="21">
      <c r="A20" s="56">
        <v>11</v>
      </c>
      <c r="B20" s="57" t="s">
        <v>55</v>
      </c>
      <c r="C20" s="61">
        <v>18</v>
      </c>
      <c r="D20" s="61">
        <v>18</v>
      </c>
      <c r="E20" s="29" t="e">
        <f>#REF!</f>
        <v>#REF!</v>
      </c>
      <c r="F20" s="29">
        <v>0</v>
      </c>
      <c r="G20" s="29" t="e">
        <f>#REF!</f>
        <v>#REF!</v>
      </c>
      <c r="H20" s="29" t="e">
        <f>#REF!</f>
        <v>#REF!</v>
      </c>
      <c r="I20" s="29" t="e">
        <f>#REF!</f>
        <v>#REF!</v>
      </c>
      <c r="J20" s="29">
        <v>0</v>
      </c>
      <c r="K20" s="61">
        <v>18</v>
      </c>
      <c r="L20" s="61">
        <v>18</v>
      </c>
      <c r="M20" s="27">
        <f t="shared" si="2"/>
        <v>100</v>
      </c>
      <c r="N20" s="27">
        <f t="shared" si="0"/>
        <v>100</v>
      </c>
      <c r="O20" s="27" t="e">
        <f t="shared" si="3"/>
        <v>#REF!</v>
      </c>
      <c r="P20" s="28">
        <f t="shared" si="4"/>
        <v>100</v>
      </c>
    </row>
    <row r="21" spans="1:16" s="1" customFormat="1" ht="16.8">
      <c r="A21" s="32"/>
      <c r="B21" s="33" t="s">
        <v>8</v>
      </c>
      <c r="C21" s="34">
        <f t="shared" ref="C21" si="5">SUM(C10:C20)</f>
        <v>132</v>
      </c>
      <c r="D21" s="34">
        <f t="shared" ref="D21" si="6">SUM(D10:D20)</f>
        <v>132</v>
      </c>
      <c r="E21" s="34" t="e">
        <f t="shared" ref="E21" si="7">SUM(E10:E20)</f>
        <v>#REF!</v>
      </c>
      <c r="F21" s="34" t="e">
        <f t="shared" ref="F21" si="8">SUM(F10:F20)</f>
        <v>#REF!</v>
      </c>
      <c r="G21" s="34" t="e">
        <f t="shared" ref="G21" si="9">SUM(G10:G20)</f>
        <v>#REF!</v>
      </c>
      <c r="H21" s="34" t="e">
        <f t="shared" ref="H21" si="10">SUM(H10:H20)</f>
        <v>#REF!</v>
      </c>
      <c r="I21" s="34" t="e">
        <f t="shared" ref="I21" si="11">SUM(I10:I20)</f>
        <v>#REF!</v>
      </c>
      <c r="J21" s="34" t="e">
        <f t="shared" ref="J21" si="12">SUM(J10:J20)</f>
        <v>#REF!</v>
      </c>
      <c r="K21" s="34">
        <f t="shared" ref="K21" si="13">SUM(K10:K20)</f>
        <v>128</v>
      </c>
      <c r="L21" s="34">
        <f t="shared" ref="L21" si="14">SUM(L10:L20)</f>
        <v>128</v>
      </c>
      <c r="M21" s="34">
        <f t="shared" ref="M21" si="15">SUM(M10:M20)</f>
        <v>900</v>
      </c>
      <c r="N21" s="34">
        <f t="shared" ref="N21" si="16">SUM(N10:N20)</f>
        <v>900</v>
      </c>
      <c r="O21" s="34" t="e">
        <f t="shared" ref="O21" si="17">SUM(O10:O20)</f>
        <v>#REF!</v>
      </c>
      <c r="P21" s="34" t="e">
        <f t="shared" ref="P21" si="18">SUM(P10:P20)</f>
        <v>#REF!</v>
      </c>
    </row>
    <row r="22" spans="1:16" ht="17.399999999999999" thickBot="1">
      <c r="A22" s="35"/>
      <c r="B22" s="36"/>
      <c r="C22" s="37" t="s">
        <v>15</v>
      </c>
      <c r="D22" s="37" t="s">
        <v>29</v>
      </c>
      <c r="E22" s="38"/>
      <c r="F22" s="39"/>
      <c r="G22" s="39"/>
      <c r="H22" s="39"/>
      <c r="I22" s="39"/>
      <c r="J22" s="39"/>
      <c r="K22" s="40"/>
      <c r="L22" s="40"/>
      <c r="M22" s="41"/>
      <c r="N22" s="41"/>
      <c r="O22" s="41"/>
      <c r="P22" s="58"/>
    </row>
    <row r="23" spans="1:16" ht="17.399999999999999" thickBot="1">
      <c r="A23" s="42"/>
      <c r="B23" s="43" t="s">
        <v>30</v>
      </c>
      <c r="C23" s="44" t="e">
        <f>ROUND((C21+E21)*100/K21,1)</f>
        <v>#REF!</v>
      </c>
      <c r="D23" s="45" t="e">
        <f>ROUND((D21+F21)*100/L21,1)</f>
        <v>#REF!</v>
      </c>
      <c r="E23" s="42" t="s">
        <v>9</v>
      </c>
      <c r="F23" s="46"/>
      <c r="G23" s="47"/>
      <c r="H23" s="42"/>
      <c r="I23" s="42"/>
      <c r="J23" s="42"/>
      <c r="K23" s="47"/>
      <c r="L23" s="47"/>
      <c r="M23" s="48"/>
      <c r="N23" s="48"/>
      <c r="O23" s="48"/>
      <c r="P23" s="59"/>
    </row>
    <row r="24" spans="1:16" ht="16.8">
      <c r="A24" s="49"/>
      <c r="B24" s="50" t="s">
        <v>31</v>
      </c>
      <c r="C24" s="51">
        <f>ROUND(C21*100/K21,1)</f>
        <v>103.1</v>
      </c>
      <c r="D24" s="52">
        <f>ROUND(D21*100/L21,1)</f>
        <v>103.1</v>
      </c>
      <c r="E24" s="51" t="s">
        <v>9</v>
      </c>
      <c r="F24" s="53"/>
      <c r="G24" s="54"/>
      <c r="H24" s="49"/>
      <c r="I24" s="49"/>
      <c r="J24" s="49"/>
      <c r="K24" s="54"/>
      <c r="L24" s="54"/>
      <c r="M24" s="55"/>
      <c r="N24" s="55"/>
      <c r="O24" s="55"/>
      <c r="P24" s="60"/>
    </row>
  </sheetData>
  <mergeCells count="18">
    <mergeCell ref="B4:C4"/>
    <mergeCell ref="E4:G4"/>
    <mergeCell ref="H3:K3"/>
    <mergeCell ref="H4:K4"/>
    <mergeCell ref="A1:P1"/>
    <mergeCell ref="B3:C3"/>
    <mergeCell ref="E3:G3"/>
    <mergeCell ref="M7:N8"/>
    <mergeCell ref="O7:P8"/>
    <mergeCell ref="B5:C5"/>
    <mergeCell ref="E5:G5"/>
    <mergeCell ref="B6:K6"/>
    <mergeCell ref="C7:D8"/>
    <mergeCell ref="E7:F8"/>
    <mergeCell ref="G7:H8"/>
    <mergeCell ref="I7:J8"/>
    <mergeCell ref="K7:L8"/>
    <mergeCell ref="H5:K5"/>
  </mergeCells>
  <pageMargins left="0.7" right="0.7" top="0.75" bottom="0.75" header="0.3" footer="0.3"/>
  <pageSetup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Trường hợp kiểm thử</vt:lpstr>
      <vt:lpstr>Đăng nhập</vt:lpstr>
      <vt:lpstr>Đăng ký</vt:lpstr>
      <vt:lpstr>Đăng xuất</vt:lpstr>
      <vt:lpstr>Quản lý doanh thu</vt:lpstr>
      <vt:lpstr>Quản lý sản phẩm</vt:lpstr>
      <vt:lpstr>Quản lý khách hàng</vt:lpstr>
      <vt:lpstr> Quản lý nhân viên</vt:lpstr>
      <vt:lpstr>Báo cáo kiểm 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2025-12-16T09:16:24Z</dcterms:modified>
</cp:coreProperties>
</file>